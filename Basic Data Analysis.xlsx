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Yorika\Desktop\Data Analysis\1 Master Excel\Portfolio\1 - Basic Data Analysis\"/>
    </mc:Choice>
  </mc:AlternateContent>
  <xr:revisionPtr revIDLastSave="0" documentId="13_ncr:1_{DD6B5D6E-57A1-421C-B04D-9D49562AD958}" xr6:coauthVersionLast="47" xr6:coauthVersionMax="47" xr10:uidLastSave="{00000000-0000-0000-0000-000000000000}"/>
  <bookViews>
    <workbookView xWindow="-120" yWindow="-120" windowWidth="25440" windowHeight="15390" activeTab="3" xr2:uid="{87CE7248-6DE8-4001-8E1A-FC1C6E5841C7}"/>
  </bookViews>
  <sheets>
    <sheet name="Original" sheetId="5" r:id="rId1"/>
    <sheet name="Neat Original" sheetId="17" r:id="rId2"/>
    <sheet name="Pivot Tables" sheetId="18" r:id="rId3"/>
    <sheet name="Dashboard" sheetId="20" r:id="rId4"/>
  </sheets>
  <definedNames>
    <definedName name="Slicer_Months__Date">#N/A</definedName>
    <definedName name="Slicer_Product">#N/A</definedName>
  </definedNames>
  <calcPr calcId="0"/>
  <pivotCaches>
    <pivotCache cacheId="9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<sst xmlns="http://schemas.openxmlformats.org/spreadsheetml/2006/main" count="650" uniqueCount="37">
  <si>
    <t>Date</t>
  </si>
  <si>
    <t>Product</t>
  </si>
  <si>
    <t>Sales Amount</t>
  </si>
  <si>
    <t>Region</t>
  </si>
  <si>
    <t>Salesperson</t>
  </si>
  <si>
    <t>Product 1</t>
  </si>
  <si>
    <t>East</t>
  </si>
  <si>
    <t>Salesperson 8</t>
  </si>
  <si>
    <t>Product 5</t>
  </si>
  <si>
    <t>Salesperson 4</t>
  </si>
  <si>
    <t>Salesperson 7</t>
  </si>
  <si>
    <t>Product 2</t>
  </si>
  <si>
    <t>South</t>
  </si>
  <si>
    <t>Product 3</t>
  </si>
  <si>
    <t>North</t>
  </si>
  <si>
    <t>Salesperson 6</t>
  </si>
  <si>
    <t>Product 4</t>
  </si>
  <si>
    <t>Salesperson 9</t>
  </si>
  <si>
    <t>Salesperson 10</t>
  </si>
  <si>
    <t>Salesperson 5</t>
  </si>
  <si>
    <t>Salesperson 3</t>
  </si>
  <si>
    <t>West</t>
  </si>
  <si>
    <t>Salesperson 2</t>
  </si>
  <si>
    <t>Salesperson 1</t>
  </si>
  <si>
    <t>Grand Total</t>
  </si>
  <si>
    <t>Sum of Sales Amount</t>
  </si>
  <si>
    <t>Jan</t>
  </si>
  <si>
    <t>Mar</t>
  </si>
  <si>
    <t>May</t>
  </si>
  <si>
    <t>Jul</t>
  </si>
  <si>
    <t>Aug</t>
  </si>
  <si>
    <t>Sep</t>
  </si>
  <si>
    <t>Oct</t>
  </si>
  <si>
    <t>Nov</t>
  </si>
  <si>
    <t>Dec</t>
  </si>
  <si>
    <t>Month</t>
  </si>
  <si>
    <t>Sales Performance Dashboard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</si>
</sst>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quot;$&quot;#,##0.00"/>
  </numFmts>
  <fonts count="19"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16"/>
      <color theme="1"/>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70" formatCode="&quot;$&quot;#,##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Data Analysis.xlsx]Pivot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8370.1900000000023</c:v>
                </c:pt>
                <c:pt idx="1">
                  <c:v>5910.18</c:v>
                </c:pt>
                <c:pt idx="2">
                  <c:v>4704.8399999999992</c:v>
                </c:pt>
                <c:pt idx="3">
                  <c:v>4407.95</c:v>
                </c:pt>
              </c:numCache>
            </c:numRef>
          </c:val>
          <c:extLst>
            <c:ext xmlns:c16="http://schemas.microsoft.com/office/drawing/2014/chart" uri="{C3380CC4-5D6E-409C-BE32-E72D297353CC}">
              <c16:uniqueId val="{00000000-25CB-459E-9331-993D322513E7}"/>
            </c:ext>
          </c:extLst>
        </c:ser>
        <c:dLbls>
          <c:showLegendKey val="0"/>
          <c:showVal val="0"/>
          <c:showCatName val="0"/>
          <c:showSerName val="0"/>
          <c:showPercent val="0"/>
          <c:showBubbleSize val="0"/>
        </c:dLbls>
        <c:gapWidth val="182"/>
        <c:axId val="2062243503"/>
        <c:axId val="2062242063"/>
      </c:barChart>
      <c:catAx>
        <c:axId val="206224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242063"/>
        <c:crosses val="autoZero"/>
        <c:auto val="1"/>
        <c:lblAlgn val="ctr"/>
        <c:lblOffset val="100"/>
        <c:noMultiLvlLbl val="0"/>
      </c:catAx>
      <c:valAx>
        <c:axId val="20622420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243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Data Analysis.xlsx]Pivot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 by</a:t>
            </a:r>
            <a:r>
              <a:rPr lang="en-AU" baseline="0"/>
              <a:t> Salesperson</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Tables'!$D$4:$D$14</c:f>
              <c:strCache>
                <c:ptCount val="10"/>
                <c:pt idx="0">
                  <c:v>Salesperson 1</c:v>
                </c:pt>
                <c:pt idx="1">
                  <c:v>Salesperson 10</c:v>
                </c:pt>
                <c:pt idx="2">
                  <c:v>Salesperson 2</c:v>
                </c:pt>
                <c:pt idx="3">
                  <c:v>Salesperson 3</c:v>
                </c:pt>
                <c:pt idx="4">
                  <c:v>Salesperson 4</c:v>
                </c:pt>
                <c:pt idx="5">
                  <c:v>Salesperson 5</c:v>
                </c:pt>
                <c:pt idx="6">
                  <c:v>Salesperson 6</c:v>
                </c:pt>
                <c:pt idx="7">
                  <c:v>Salesperson 7</c:v>
                </c:pt>
                <c:pt idx="8">
                  <c:v>Salesperson 8</c:v>
                </c:pt>
                <c:pt idx="9">
                  <c:v>Salesperson 9</c:v>
                </c:pt>
              </c:strCache>
            </c:strRef>
          </c:cat>
          <c:val>
            <c:numRef>
              <c:f>'Pivot Tables'!$E$4:$E$14</c:f>
              <c:numCache>
                <c:formatCode>General</c:formatCode>
                <c:ptCount val="10"/>
                <c:pt idx="0">
                  <c:v>4498.6200000000008</c:v>
                </c:pt>
                <c:pt idx="1">
                  <c:v>2707.4999999999995</c:v>
                </c:pt>
                <c:pt idx="2">
                  <c:v>1619.27</c:v>
                </c:pt>
                <c:pt idx="3">
                  <c:v>1948.13</c:v>
                </c:pt>
                <c:pt idx="4">
                  <c:v>1634.62</c:v>
                </c:pt>
                <c:pt idx="5">
                  <c:v>1529.63</c:v>
                </c:pt>
                <c:pt idx="6">
                  <c:v>2046.75</c:v>
                </c:pt>
                <c:pt idx="7">
                  <c:v>2221.7200000000003</c:v>
                </c:pt>
                <c:pt idx="8">
                  <c:v>3149.6</c:v>
                </c:pt>
                <c:pt idx="9">
                  <c:v>2037.3199999999997</c:v>
                </c:pt>
              </c:numCache>
            </c:numRef>
          </c:val>
          <c:extLst>
            <c:ext xmlns:c16="http://schemas.microsoft.com/office/drawing/2014/chart" uri="{C3380CC4-5D6E-409C-BE32-E72D297353CC}">
              <c16:uniqueId val="{00000000-8EB9-4B1B-9229-6A103A7DEC6E}"/>
            </c:ext>
          </c:extLst>
        </c:ser>
        <c:dLbls>
          <c:showLegendKey val="0"/>
          <c:showVal val="0"/>
          <c:showCatName val="0"/>
          <c:showSerName val="0"/>
          <c:showPercent val="0"/>
          <c:showBubbleSize val="0"/>
        </c:dLbls>
        <c:gapWidth val="219"/>
        <c:overlap val="-27"/>
        <c:axId val="1923132527"/>
        <c:axId val="1923132047"/>
      </c:barChart>
      <c:catAx>
        <c:axId val="192313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132047"/>
        <c:crosses val="autoZero"/>
        <c:auto val="1"/>
        <c:lblAlgn val="ctr"/>
        <c:lblOffset val="100"/>
        <c:noMultiLvlLbl val="0"/>
      </c:catAx>
      <c:valAx>
        <c:axId val="19231320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13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Data Analysis.xlsx]Pivot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54-4EF9-BD4F-10D27A808D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54-4EF9-BD4F-10D27A808D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54-4EF9-BD4F-10D27A808D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54-4EF9-BD4F-10D27A808D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54-4EF9-BD4F-10D27A808D15}"/>
              </c:ext>
            </c:extLst>
          </c:dPt>
          <c:cat>
            <c:strRef>
              <c:f>'Pivot Tables'!$A$16:$A$20</c:f>
              <c:strCache>
                <c:ptCount val="4"/>
                <c:pt idx="0">
                  <c:v>Product 1</c:v>
                </c:pt>
                <c:pt idx="1">
                  <c:v>Product 2</c:v>
                </c:pt>
                <c:pt idx="2">
                  <c:v>Product 3</c:v>
                </c:pt>
                <c:pt idx="3">
                  <c:v>Product 5</c:v>
                </c:pt>
              </c:strCache>
            </c:strRef>
          </c:cat>
          <c:val>
            <c:numRef>
              <c:f>'Pivot Tables'!$B$16:$B$20</c:f>
              <c:numCache>
                <c:formatCode>General</c:formatCode>
                <c:ptCount val="4"/>
                <c:pt idx="0">
                  <c:v>6318.9699999999993</c:v>
                </c:pt>
                <c:pt idx="1">
                  <c:v>3687.5699999999997</c:v>
                </c:pt>
                <c:pt idx="2">
                  <c:v>5090.8500000000004</c:v>
                </c:pt>
                <c:pt idx="3">
                  <c:v>3417.2400000000007</c:v>
                </c:pt>
              </c:numCache>
            </c:numRef>
          </c:val>
          <c:extLst>
            <c:ext xmlns:c16="http://schemas.microsoft.com/office/drawing/2014/chart" uri="{C3380CC4-5D6E-409C-BE32-E72D297353CC}">
              <c16:uniqueId val="{0000000A-8254-4EF9-BD4F-10D27A808D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10</xdr:col>
      <xdr:colOff>409574</xdr:colOff>
      <xdr:row>16</xdr:row>
      <xdr:rowOff>28575</xdr:rowOff>
    </xdr:to>
    <xdr:graphicFrame macro="">
      <xdr:nvGraphicFramePr>
        <xdr:cNvPr id="2" name="Chart 1">
          <a:extLst>
            <a:ext uri="{FF2B5EF4-FFF2-40B4-BE49-F238E27FC236}">
              <a16:creationId xmlns:a16="http://schemas.microsoft.com/office/drawing/2014/main" id="{1BBC7387-9876-45FF-9F89-F236B07F4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16</xdr:row>
      <xdr:rowOff>104775</xdr:rowOff>
    </xdr:from>
    <xdr:to>
      <xdr:col>6</xdr:col>
      <xdr:colOff>609600</xdr:colOff>
      <xdr:row>31</xdr:row>
      <xdr:rowOff>133350</xdr:rowOff>
    </xdr:to>
    <xdr:graphicFrame macro="">
      <xdr:nvGraphicFramePr>
        <xdr:cNvPr id="3" name="Chart 2">
          <a:extLst>
            <a:ext uri="{FF2B5EF4-FFF2-40B4-BE49-F238E27FC236}">
              <a16:creationId xmlns:a16="http://schemas.microsoft.com/office/drawing/2014/main" id="{D0FEEACA-E072-411B-866E-4B02D2085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16</xdr:row>
      <xdr:rowOff>76200</xdr:rowOff>
    </xdr:from>
    <xdr:to>
      <xdr:col>13</xdr:col>
      <xdr:colOff>495300</xdr:colOff>
      <xdr:row>31</xdr:row>
      <xdr:rowOff>104775</xdr:rowOff>
    </xdr:to>
    <xdr:graphicFrame macro="">
      <xdr:nvGraphicFramePr>
        <xdr:cNvPr id="4" name="Chart 3">
          <a:extLst>
            <a:ext uri="{FF2B5EF4-FFF2-40B4-BE49-F238E27FC236}">
              <a16:creationId xmlns:a16="http://schemas.microsoft.com/office/drawing/2014/main" id="{B44019DE-6610-4072-A6D8-50B9B0E25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47625</xdr:colOff>
      <xdr:row>1</xdr:row>
      <xdr:rowOff>19050</xdr:rowOff>
    </xdr:from>
    <xdr:to>
      <xdr:col>13</xdr:col>
      <xdr:colOff>504825</xdr:colOff>
      <xdr:row>15</xdr:row>
      <xdr:rowOff>9525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046078E0-935E-47B9-8437-54EB9A54CEA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591425" y="276225"/>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66675</xdr:colOff>
      <xdr:row>1</xdr:row>
      <xdr:rowOff>28575</xdr:rowOff>
    </xdr:from>
    <xdr:to>
      <xdr:col>16</xdr:col>
      <xdr:colOff>523875</xdr:colOff>
      <xdr:row>15</xdr:row>
      <xdr:rowOff>19050</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FB04ED32-FAD0-400C-B13E-1AE033582CF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9667875" y="285750"/>
              <a:ext cx="1828800" cy="25241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rika" refreshedDate="45776.514330092592" createdVersion="8" refreshedVersion="8" minRefreshableVersion="3" recordCount="100" xr:uid="{423F004B-3195-4CDB-9772-ACB676CA2BC1}">
  <cacheSource type="worksheet">
    <worksheetSource ref="A1:E101" sheet="Neat Original"/>
  </cacheSource>
  <cacheFields count="7">
    <cacheField name="Date" numFmtId="14">
      <sharedItems containsSemiMixedTypes="0" containsNonDate="0" containsDate="1" containsString="0" minDate="2023-01-03T00:00:00" maxDate="2023-12-25T00:00:00" count="88">
        <d v="2023-11-16T00:00:00"/>
        <d v="2023-05-20T00:00:00"/>
        <d v="2023-10-03T00:00:00"/>
        <d v="2023-10-02T00:00:00"/>
        <d v="2023-12-01T00:00:00"/>
        <d v="2023-10-11T00:00:00"/>
        <d v="2023-03-23T00:00:00"/>
        <d v="2023-12-13T00:00:00"/>
        <d v="2023-08-26T00:00:00"/>
        <d v="2023-02-10T00:00:00"/>
        <d v="2023-08-17T00:00:00"/>
        <d v="2023-12-22T00:00:00"/>
        <d v="2023-10-13T00:00:00"/>
        <d v="2023-06-16T00:00:00"/>
        <d v="2023-03-24T00:00:00"/>
        <d v="2023-02-04T00:00:00"/>
        <d v="2023-03-16T00:00:00"/>
        <d v="2023-01-14T00:00:00"/>
        <d v="2023-09-03T00:00:00"/>
        <d v="2023-08-09T00:00:00"/>
        <d v="2023-02-06T00:00:00"/>
        <d v="2023-11-02T00:00:00"/>
        <d v="2023-01-03T00:00:00"/>
        <d v="2023-08-21T00:00:00"/>
        <d v="2023-09-09T00:00:00"/>
        <d v="2023-05-25T00:00:00"/>
        <d v="2023-01-22T00:00:00"/>
        <d v="2023-02-11T00:00:00"/>
        <d v="2023-10-25T00:00:00"/>
        <d v="2023-02-03T00:00:00"/>
        <d v="2023-07-22T00:00:00"/>
        <d v="2023-09-11T00:00:00"/>
        <d v="2023-11-03T00:00:00"/>
        <d v="2023-03-19T00:00:00"/>
        <d v="2023-01-11T00:00:00"/>
        <d v="2023-11-28T00:00:00"/>
        <d v="2023-02-16T00:00:00"/>
        <d v="2023-03-22T00:00:00"/>
        <d v="2023-02-18T00:00:00"/>
        <d v="2023-09-15T00:00:00"/>
        <d v="2023-12-08T00:00:00"/>
        <d v="2023-02-26T00:00:00"/>
        <d v="2023-03-07T00:00:00"/>
        <d v="2023-08-25T00:00:00"/>
        <d v="2023-08-14T00:00:00"/>
        <d v="2023-11-01T00:00:00"/>
        <d v="2023-08-20T00:00:00"/>
        <d v="2023-10-28T00:00:00"/>
        <d v="2023-12-03T00:00:00"/>
        <d v="2023-03-28T00:00:00"/>
        <d v="2023-06-12T00:00:00"/>
        <d v="2023-11-23T00:00:00"/>
        <d v="2023-04-10T00:00:00"/>
        <d v="2023-06-14T00:00:00"/>
        <d v="2023-05-23T00:00:00"/>
        <d v="2023-12-24T00:00:00"/>
        <d v="2023-06-20T00:00:00"/>
        <d v="2023-05-07T00:00:00"/>
        <d v="2023-10-07T00:00:00"/>
        <d v="2023-04-18T00:00:00"/>
        <d v="2023-11-26T00:00:00"/>
        <d v="2023-11-10T00:00:00"/>
        <d v="2023-01-05T00:00:00"/>
        <d v="2023-05-11T00:00:00"/>
        <d v="2023-12-05T00:00:00"/>
        <d v="2023-07-20T00:00:00"/>
        <d v="2023-01-10T00:00:00"/>
        <d v="2023-06-15T00:00:00"/>
        <d v="2023-07-17T00:00:00"/>
        <d v="2023-02-09T00:00:00"/>
        <d v="2023-01-24T00:00:00"/>
        <d v="2023-09-24T00:00:00"/>
        <d v="2023-02-24T00:00:00"/>
        <d v="2023-06-25T00:00:00"/>
        <d v="2023-02-01T00:00:00"/>
        <d v="2023-06-18T00:00:00"/>
        <d v="2023-07-04T00:00:00"/>
        <d v="2023-01-21T00:00:00"/>
        <d v="2023-03-27T00:00:00"/>
        <d v="2023-08-03T00:00:00"/>
        <d v="2023-03-04T00:00:00"/>
        <d v="2023-06-06T00:00:00"/>
        <d v="2023-02-17T00:00:00"/>
        <d v="2023-08-05T00:00:00"/>
        <d v="2023-07-09T00:00:00"/>
        <d v="2023-10-26T00:00:00"/>
        <d v="2023-01-25T00:00:00"/>
        <d v="2023-07-24T00:00:00"/>
      </sharedItems>
      <fieldGroup par="6"/>
    </cacheField>
    <cacheField name="Product" numFmtId="0">
      <sharedItems count="5">
        <s v="Product 1"/>
        <s v="Product 5"/>
        <s v="Product 2"/>
        <s v="Product 3"/>
        <s v="Product 4"/>
      </sharedItems>
    </cacheField>
    <cacheField name="Sales Amount" numFmtId="0">
      <sharedItems containsSemiMixedTypes="0" containsString="0" containsNumber="1" minValue="20" maxValue="2000"/>
    </cacheField>
    <cacheField name="Region" numFmtId="0">
      <sharedItems count="4">
        <s v="East"/>
        <s v="South"/>
        <s v="North"/>
        <s v="West"/>
      </sharedItems>
    </cacheField>
    <cacheField name="Salesperson" numFmtId="0">
      <sharedItems count="10">
        <s v="Salesperson 8"/>
        <s v="Salesperson 4"/>
        <s v="Salesperson 7"/>
        <s v="Salesperson 6"/>
        <s v="Salesperson 9"/>
        <s v="Salesperson 10"/>
        <s v="Salesperson 5"/>
        <s v="Salesperson 3"/>
        <s v="Salesperson 2"/>
        <s v="Salesperson 1"/>
      </sharedItems>
    </cacheField>
    <cacheField name="Days (Date)" numFmtId="0" databaseField="0">
      <fieldGroup base="0">
        <rangePr groupBy="days" startDate="2023-01-03T00:00:00" endDate="2023-12-25T00:00:00"/>
        <groupItems count="368">
          <s v="&lt;3/0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5/12/2023"/>
        </groupItems>
      </fieldGroup>
    </cacheField>
    <cacheField name="Months (Date)" numFmtId="0" databaseField="0">
      <fieldGroup base="0">
        <rangePr groupBy="months" startDate="2023-01-03T00:00:00" endDate="2023-12-25T00:00:00"/>
        <groupItems count="14">
          <s v="&lt;3/01/2023"/>
          <s v="Jan"/>
          <s v="Feb"/>
          <s v="Mar"/>
          <s v="Apr"/>
          <s v="May"/>
          <s v="Jun"/>
          <s v="Jul"/>
          <s v="Aug"/>
          <s v="Sep"/>
          <s v="Oct"/>
          <s v="Nov"/>
          <s v="Dec"/>
          <s v="&gt;25/12/2023"/>
        </groupItems>
      </fieldGroup>
    </cacheField>
  </cacheFields>
  <extLst>
    <ext xmlns:x14="http://schemas.microsoft.com/office/spreadsheetml/2009/9/main" uri="{725AE2AE-9491-48be-B2B4-4EB974FC3084}">
      <x14:pivotCacheDefinition pivotCacheId="303840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2000"/>
    <x v="0"/>
    <x v="0"/>
  </r>
  <r>
    <x v="1"/>
    <x v="1"/>
    <n v="20"/>
    <x v="0"/>
    <x v="1"/>
  </r>
  <r>
    <x v="2"/>
    <x v="1"/>
    <n v="20"/>
    <x v="0"/>
    <x v="2"/>
  </r>
  <r>
    <x v="3"/>
    <x v="2"/>
    <n v="60"/>
    <x v="1"/>
    <x v="0"/>
  </r>
  <r>
    <x v="4"/>
    <x v="3"/>
    <n v="407.19"/>
    <x v="2"/>
    <x v="3"/>
  </r>
  <r>
    <x v="5"/>
    <x v="4"/>
    <n v="330.01"/>
    <x v="0"/>
    <x v="2"/>
  </r>
  <r>
    <x v="6"/>
    <x v="3"/>
    <n v="365.89"/>
    <x v="2"/>
    <x v="2"/>
  </r>
  <r>
    <x v="7"/>
    <x v="1"/>
    <n v="335.71"/>
    <x v="2"/>
    <x v="4"/>
  </r>
  <r>
    <x v="8"/>
    <x v="4"/>
    <n v="240.21"/>
    <x v="0"/>
    <x v="5"/>
  </r>
  <r>
    <x v="9"/>
    <x v="0"/>
    <n v="117.24"/>
    <x v="1"/>
    <x v="6"/>
  </r>
  <r>
    <x v="10"/>
    <x v="4"/>
    <n v="176.04"/>
    <x v="0"/>
    <x v="7"/>
  </r>
  <r>
    <x v="11"/>
    <x v="0"/>
    <n v="91.31"/>
    <x v="3"/>
    <x v="7"/>
  </r>
  <r>
    <x v="12"/>
    <x v="3"/>
    <n v="95.19"/>
    <x v="2"/>
    <x v="4"/>
  </r>
  <r>
    <x v="13"/>
    <x v="0"/>
    <n v="211.25"/>
    <x v="3"/>
    <x v="5"/>
  </r>
  <r>
    <x v="14"/>
    <x v="4"/>
    <n v="224.36"/>
    <x v="3"/>
    <x v="7"/>
  </r>
  <r>
    <x v="15"/>
    <x v="2"/>
    <n v="321.70999999999998"/>
    <x v="1"/>
    <x v="0"/>
  </r>
  <r>
    <x v="16"/>
    <x v="3"/>
    <n v="243.55"/>
    <x v="2"/>
    <x v="8"/>
  </r>
  <r>
    <x v="17"/>
    <x v="4"/>
    <n v="420.04"/>
    <x v="3"/>
    <x v="2"/>
  </r>
  <r>
    <x v="18"/>
    <x v="1"/>
    <n v="121.91"/>
    <x v="0"/>
    <x v="4"/>
  </r>
  <r>
    <x v="19"/>
    <x v="2"/>
    <n v="281.44"/>
    <x v="3"/>
    <x v="7"/>
  </r>
  <r>
    <x v="20"/>
    <x v="1"/>
    <n v="212.3"/>
    <x v="3"/>
    <x v="2"/>
  </r>
  <r>
    <x v="21"/>
    <x v="0"/>
    <n v="266.99"/>
    <x v="0"/>
    <x v="0"/>
  </r>
  <r>
    <x v="22"/>
    <x v="1"/>
    <n v="96.46"/>
    <x v="1"/>
    <x v="6"/>
  </r>
  <r>
    <x v="3"/>
    <x v="4"/>
    <n v="341.7"/>
    <x v="0"/>
    <x v="8"/>
  </r>
  <r>
    <x v="23"/>
    <x v="4"/>
    <n v="383.52"/>
    <x v="1"/>
    <x v="8"/>
  </r>
  <r>
    <x v="24"/>
    <x v="1"/>
    <n v="377.55"/>
    <x v="3"/>
    <x v="5"/>
  </r>
  <r>
    <x v="25"/>
    <x v="4"/>
    <n v="315.47000000000003"/>
    <x v="1"/>
    <x v="6"/>
  </r>
  <r>
    <x v="26"/>
    <x v="0"/>
    <n v="306.11"/>
    <x v="1"/>
    <x v="2"/>
  </r>
  <r>
    <x v="0"/>
    <x v="1"/>
    <n v="375.27"/>
    <x v="0"/>
    <x v="5"/>
  </r>
  <r>
    <x v="27"/>
    <x v="0"/>
    <n v="373.86"/>
    <x v="3"/>
    <x v="8"/>
  </r>
  <r>
    <x v="28"/>
    <x v="0"/>
    <n v="498.54"/>
    <x v="0"/>
    <x v="1"/>
  </r>
  <r>
    <x v="29"/>
    <x v="3"/>
    <n v="427.79"/>
    <x v="2"/>
    <x v="0"/>
  </r>
  <r>
    <x v="30"/>
    <x v="1"/>
    <n v="339.73"/>
    <x v="1"/>
    <x v="3"/>
  </r>
  <r>
    <x v="31"/>
    <x v="2"/>
    <n v="465.09"/>
    <x v="1"/>
    <x v="0"/>
  </r>
  <r>
    <x v="32"/>
    <x v="4"/>
    <n v="352.75"/>
    <x v="0"/>
    <x v="8"/>
  </r>
  <r>
    <x v="33"/>
    <x v="2"/>
    <n v="260.16000000000003"/>
    <x v="1"/>
    <x v="2"/>
  </r>
  <r>
    <x v="34"/>
    <x v="3"/>
    <n v="297.75"/>
    <x v="0"/>
    <x v="8"/>
  </r>
  <r>
    <x v="35"/>
    <x v="2"/>
    <n v="360.78"/>
    <x v="1"/>
    <x v="6"/>
  </r>
  <r>
    <x v="36"/>
    <x v="0"/>
    <n v="473.41"/>
    <x v="0"/>
    <x v="2"/>
  </r>
  <r>
    <x v="37"/>
    <x v="1"/>
    <n v="76.62"/>
    <x v="1"/>
    <x v="9"/>
  </r>
  <r>
    <x v="38"/>
    <x v="1"/>
    <n v="110.07"/>
    <x v="1"/>
    <x v="6"/>
  </r>
  <r>
    <x v="39"/>
    <x v="1"/>
    <n v="65.95"/>
    <x v="0"/>
    <x v="6"/>
  </r>
  <r>
    <x v="40"/>
    <x v="0"/>
    <n v="490.54"/>
    <x v="0"/>
    <x v="9"/>
  </r>
  <r>
    <x v="41"/>
    <x v="1"/>
    <n v="437.57"/>
    <x v="0"/>
    <x v="4"/>
  </r>
  <r>
    <x v="42"/>
    <x v="3"/>
    <n v="432.23"/>
    <x v="2"/>
    <x v="9"/>
  </r>
  <r>
    <x v="43"/>
    <x v="2"/>
    <n v="280.88"/>
    <x v="0"/>
    <x v="9"/>
  </r>
  <r>
    <x v="44"/>
    <x v="1"/>
    <n v="78.55"/>
    <x v="0"/>
    <x v="2"/>
  </r>
  <r>
    <x v="45"/>
    <x v="2"/>
    <n v="349.35"/>
    <x v="2"/>
    <x v="9"/>
  </r>
  <r>
    <x v="46"/>
    <x v="2"/>
    <n v="390.08"/>
    <x v="3"/>
    <x v="3"/>
  </r>
  <r>
    <x v="47"/>
    <x v="4"/>
    <n v="462.55"/>
    <x v="3"/>
    <x v="7"/>
  </r>
  <r>
    <x v="48"/>
    <x v="2"/>
    <n v="317.41000000000003"/>
    <x v="2"/>
    <x v="5"/>
  </r>
  <r>
    <x v="49"/>
    <x v="3"/>
    <n v="325.97000000000003"/>
    <x v="3"/>
    <x v="9"/>
  </r>
  <r>
    <x v="50"/>
    <x v="2"/>
    <n v="425.47"/>
    <x v="2"/>
    <x v="0"/>
  </r>
  <r>
    <x v="51"/>
    <x v="0"/>
    <n v="273.91000000000003"/>
    <x v="2"/>
    <x v="4"/>
  </r>
  <r>
    <x v="52"/>
    <x v="3"/>
    <n v="101.74"/>
    <x v="3"/>
    <x v="2"/>
  </r>
  <r>
    <x v="53"/>
    <x v="3"/>
    <n v="236.43"/>
    <x v="1"/>
    <x v="5"/>
  </r>
  <r>
    <x v="54"/>
    <x v="3"/>
    <n v="175.64"/>
    <x v="1"/>
    <x v="4"/>
  </r>
  <r>
    <x v="55"/>
    <x v="0"/>
    <n v="494.2"/>
    <x v="1"/>
    <x v="5"/>
  </r>
  <r>
    <x v="56"/>
    <x v="1"/>
    <n v="257.41000000000003"/>
    <x v="0"/>
    <x v="9"/>
  </r>
  <r>
    <x v="57"/>
    <x v="3"/>
    <n v="344.37"/>
    <x v="1"/>
    <x v="3"/>
  </r>
  <r>
    <x v="58"/>
    <x v="1"/>
    <n v="216.01"/>
    <x v="3"/>
    <x v="4"/>
  </r>
  <r>
    <x v="47"/>
    <x v="4"/>
    <n v="436.78"/>
    <x v="2"/>
    <x v="9"/>
  </r>
  <r>
    <x v="59"/>
    <x v="4"/>
    <n v="281.7"/>
    <x v="1"/>
    <x v="2"/>
  </r>
  <r>
    <x v="60"/>
    <x v="1"/>
    <n v="444.09"/>
    <x v="2"/>
    <x v="9"/>
  </r>
  <r>
    <x v="61"/>
    <x v="2"/>
    <n v="111.39"/>
    <x v="3"/>
    <x v="9"/>
  </r>
  <r>
    <x v="62"/>
    <x v="4"/>
    <n v="90.25"/>
    <x v="2"/>
    <x v="2"/>
  </r>
  <r>
    <x v="31"/>
    <x v="2"/>
    <n v="463.5"/>
    <x v="2"/>
    <x v="9"/>
  </r>
  <r>
    <x v="63"/>
    <x v="4"/>
    <n v="482.85"/>
    <x v="0"/>
    <x v="9"/>
  </r>
  <r>
    <x v="64"/>
    <x v="0"/>
    <n v="481.76"/>
    <x v="3"/>
    <x v="4"/>
  </r>
  <r>
    <x v="65"/>
    <x v="4"/>
    <n v="350.71"/>
    <x v="2"/>
    <x v="2"/>
  </r>
  <r>
    <x v="66"/>
    <x v="3"/>
    <n v="357.52"/>
    <x v="3"/>
    <x v="0"/>
  </r>
  <r>
    <x v="67"/>
    <x v="2"/>
    <n v="399.34"/>
    <x v="0"/>
    <x v="5"/>
  </r>
  <r>
    <x v="68"/>
    <x v="3"/>
    <n v="489.45"/>
    <x v="0"/>
    <x v="5"/>
  </r>
  <r>
    <x v="69"/>
    <x v="0"/>
    <n v="477.15"/>
    <x v="0"/>
    <x v="7"/>
  </r>
  <r>
    <x v="70"/>
    <x v="1"/>
    <n v="376.42"/>
    <x v="3"/>
    <x v="3"/>
  </r>
  <r>
    <x v="71"/>
    <x v="3"/>
    <n v="136.93"/>
    <x v="0"/>
    <x v="5"/>
  </r>
  <r>
    <x v="72"/>
    <x v="2"/>
    <n v="106.44"/>
    <x v="0"/>
    <x v="9"/>
  </r>
  <r>
    <x v="50"/>
    <x v="3"/>
    <n v="239.65"/>
    <x v="3"/>
    <x v="4"/>
  </r>
  <r>
    <x v="73"/>
    <x v="1"/>
    <n v="290.60000000000002"/>
    <x v="2"/>
    <x v="6"/>
  </r>
  <r>
    <x v="74"/>
    <x v="3"/>
    <n v="159.55000000000001"/>
    <x v="0"/>
    <x v="3"/>
  </r>
  <r>
    <x v="75"/>
    <x v="3"/>
    <n v="142.44"/>
    <x v="2"/>
    <x v="1"/>
  </r>
  <r>
    <x v="76"/>
    <x v="4"/>
    <n v="271.29000000000002"/>
    <x v="2"/>
    <x v="4"/>
  </r>
  <r>
    <x v="77"/>
    <x v="3"/>
    <n v="188.96"/>
    <x v="2"/>
    <x v="3"/>
  </r>
  <r>
    <x v="78"/>
    <x v="1"/>
    <n v="472.97"/>
    <x v="0"/>
    <x v="6"/>
  </r>
  <r>
    <x v="60"/>
    <x v="0"/>
    <n v="221.94"/>
    <x v="1"/>
    <x v="9"/>
  </r>
  <r>
    <x v="79"/>
    <x v="3"/>
    <n v="276.48"/>
    <x v="2"/>
    <x v="5"/>
  </r>
  <r>
    <x v="80"/>
    <x v="2"/>
    <n v="83.38"/>
    <x v="2"/>
    <x v="9"/>
  </r>
  <r>
    <x v="62"/>
    <x v="0"/>
    <n v="134.91999999999999"/>
    <x v="3"/>
    <x v="7"/>
  </r>
  <r>
    <x v="81"/>
    <x v="0"/>
    <n v="163.13999999999999"/>
    <x v="0"/>
    <x v="8"/>
  </r>
  <r>
    <x v="44"/>
    <x v="2"/>
    <n v="107.48"/>
    <x v="2"/>
    <x v="7"/>
  </r>
  <r>
    <x v="82"/>
    <x v="4"/>
    <n v="431.75"/>
    <x v="2"/>
    <x v="4"/>
  </r>
  <r>
    <x v="83"/>
    <x v="3"/>
    <n v="299.10000000000002"/>
    <x v="0"/>
    <x v="9"/>
  </r>
  <r>
    <x v="84"/>
    <x v="0"/>
    <n v="216.02"/>
    <x v="1"/>
    <x v="7"/>
  </r>
  <r>
    <x v="10"/>
    <x v="0"/>
    <n v="376.83"/>
    <x v="2"/>
    <x v="1"/>
  </r>
  <r>
    <x v="85"/>
    <x v="3"/>
    <n v="218"/>
    <x v="1"/>
    <x v="6"/>
  </r>
  <r>
    <x v="86"/>
    <x v="2"/>
    <n v="156.63"/>
    <x v="3"/>
    <x v="1"/>
  </r>
  <r>
    <x v="63"/>
    <x v="3"/>
    <n v="370.73"/>
    <x v="1"/>
    <x v="1"/>
  </r>
  <r>
    <x v="87"/>
    <x v="0"/>
    <n v="254.01"/>
    <x v="0"/>
    <x v="7"/>
  </r>
  <r>
    <x v="61"/>
    <x v="3"/>
    <n v="65.900000000000006"/>
    <x v="0"/>
    <x v="4"/>
  </r>
  <r>
    <x v="12"/>
    <x v="0"/>
    <n v="211.8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1760E9-D24C-4A6F-903C-DCDA2E99D9B0}" name="PivotTable8" cacheId="9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rowHeaderCaption="Month">
  <location ref="D17:E27" firstHeaderRow="1" firstDataRow="1" firstDataCol="1"/>
  <pivotFields count="7">
    <pivotField numFmtId="14" showAll="0">
      <items count="89">
        <item x="22"/>
        <item x="62"/>
        <item x="66"/>
        <item x="34"/>
        <item x="17"/>
        <item x="77"/>
        <item x="26"/>
        <item x="70"/>
        <item x="86"/>
        <item x="74"/>
        <item x="29"/>
        <item x="15"/>
        <item x="20"/>
        <item x="69"/>
        <item x="9"/>
        <item x="27"/>
        <item x="36"/>
        <item x="82"/>
        <item x="38"/>
        <item x="72"/>
        <item x="41"/>
        <item x="80"/>
        <item x="42"/>
        <item x="16"/>
        <item x="33"/>
        <item x="37"/>
        <item x="6"/>
        <item x="14"/>
        <item x="78"/>
        <item x="49"/>
        <item x="52"/>
        <item x="59"/>
        <item x="57"/>
        <item x="63"/>
        <item x="1"/>
        <item x="54"/>
        <item x="25"/>
        <item x="81"/>
        <item x="50"/>
        <item x="53"/>
        <item x="67"/>
        <item x="13"/>
        <item x="75"/>
        <item x="56"/>
        <item x="73"/>
        <item x="76"/>
        <item x="84"/>
        <item x="68"/>
        <item x="65"/>
        <item x="30"/>
        <item x="87"/>
        <item x="79"/>
        <item x="83"/>
        <item x="19"/>
        <item x="44"/>
        <item x="10"/>
        <item x="46"/>
        <item x="23"/>
        <item x="43"/>
        <item x="8"/>
        <item x="18"/>
        <item x="24"/>
        <item x="31"/>
        <item x="39"/>
        <item x="71"/>
        <item x="3"/>
        <item x="2"/>
        <item x="58"/>
        <item x="5"/>
        <item x="12"/>
        <item x="28"/>
        <item x="85"/>
        <item x="47"/>
        <item x="45"/>
        <item x="21"/>
        <item x="32"/>
        <item x="61"/>
        <item x="0"/>
        <item x="51"/>
        <item x="60"/>
        <item x="35"/>
        <item x="4"/>
        <item x="48"/>
        <item x="64"/>
        <item x="40"/>
        <item x="7"/>
        <item x="11"/>
        <item x="55"/>
        <item t="default"/>
      </items>
    </pivotField>
    <pivotField showAll="0">
      <items count="6">
        <item x="0"/>
        <item x="2"/>
        <item x="3"/>
        <item h="1" x="4"/>
        <item x="1"/>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h="1" sd="0" x="2"/>
        <item sd="0" x="3"/>
        <item h="1" sd="0" x="4"/>
        <item sd="0" x="5"/>
        <item h="1" sd="0" x="6"/>
        <item sd="0" x="7"/>
        <item sd="0" x="8"/>
        <item sd="0" x="9"/>
        <item sd="0" x="10"/>
        <item sd="0" x="11"/>
        <item sd="0" x="12"/>
        <item sd="0" x="13"/>
        <item t="default"/>
      </items>
    </pivotField>
  </pivotFields>
  <rowFields count="1">
    <field x="6"/>
  </rowFields>
  <rowItems count="10">
    <i>
      <x v="1"/>
    </i>
    <i>
      <x v="3"/>
    </i>
    <i>
      <x v="5"/>
    </i>
    <i>
      <x v="7"/>
    </i>
    <i>
      <x v="8"/>
    </i>
    <i>
      <x v="9"/>
    </i>
    <i>
      <x v="10"/>
    </i>
    <i>
      <x v="11"/>
    </i>
    <i>
      <x v="12"/>
    </i>
    <i t="grand">
      <x/>
    </i>
  </rowItems>
  <colItems count="1">
    <i/>
  </colItems>
  <dataFields count="1">
    <dataField name="Sum of Sales Amount" fld="2" baseField="0" baseItem="0"/>
  </dataFields>
  <conditionalFormats count="1">
    <conditionalFormat priority="2">
      <pivotAreas count="1">
        <pivotArea type="data" collapsedLevelsAreSubtotals="1" fieldPosition="0">
          <references count="2">
            <reference field="4294967294" count="1" selected="0">
              <x v="0"/>
            </reference>
            <reference field="6" count="9">
              <x v="1"/>
              <x v="3"/>
              <x v="5"/>
              <x v="7"/>
              <x v="8"/>
              <x v="9"/>
              <x v="10"/>
              <x v="11"/>
              <x v="12"/>
            </reference>
          </references>
        </pivotArea>
      </pivotAreas>
    </conditionalFormat>
  </conditionalFormats>
  <chartFormats count="1">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3B4392-51E6-4C21-A2B3-6F1E5F0C96F9}" name="PivotTable7" cacheId="9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rowHeaderCaption="Region">
  <location ref="A15:B20" firstHeaderRow="1" firstDataRow="1" firstDataCol="1"/>
  <pivotFields count="7">
    <pivotField numFmtId="14" showAll="0">
      <items count="89">
        <item x="22"/>
        <item x="62"/>
        <item x="66"/>
        <item x="34"/>
        <item x="17"/>
        <item x="77"/>
        <item x="26"/>
        <item x="70"/>
        <item x="86"/>
        <item x="74"/>
        <item x="29"/>
        <item x="15"/>
        <item x="20"/>
        <item x="69"/>
        <item x="9"/>
        <item x="27"/>
        <item x="36"/>
        <item x="82"/>
        <item x="38"/>
        <item x="72"/>
        <item x="41"/>
        <item x="80"/>
        <item x="42"/>
        <item x="16"/>
        <item x="33"/>
        <item x="37"/>
        <item x="6"/>
        <item x="14"/>
        <item x="78"/>
        <item x="49"/>
        <item x="52"/>
        <item x="59"/>
        <item x="57"/>
        <item x="63"/>
        <item x="1"/>
        <item x="54"/>
        <item x="25"/>
        <item x="81"/>
        <item x="50"/>
        <item x="53"/>
        <item x="67"/>
        <item x="13"/>
        <item x="75"/>
        <item x="56"/>
        <item x="73"/>
        <item x="76"/>
        <item x="84"/>
        <item x="68"/>
        <item x="65"/>
        <item x="30"/>
        <item x="87"/>
        <item x="79"/>
        <item x="83"/>
        <item x="19"/>
        <item x="44"/>
        <item x="10"/>
        <item x="46"/>
        <item x="23"/>
        <item x="43"/>
        <item x="8"/>
        <item x="18"/>
        <item x="24"/>
        <item x="31"/>
        <item x="39"/>
        <item x="71"/>
        <item x="3"/>
        <item x="2"/>
        <item x="58"/>
        <item x="5"/>
        <item x="12"/>
        <item x="28"/>
        <item x="85"/>
        <item x="47"/>
        <item x="45"/>
        <item x="21"/>
        <item x="32"/>
        <item x="61"/>
        <item x="0"/>
        <item x="51"/>
        <item x="60"/>
        <item x="35"/>
        <item x="4"/>
        <item x="48"/>
        <item x="64"/>
        <item x="40"/>
        <item x="7"/>
        <item x="11"/>
        <item x="55"/>
        <item t="default"/>
      </items>
    </pivotField>
    <pivotField axis="axisRow" showAll="0">
      <items count="6">
        <item x="0"/>
        <item x="2"/>
        <item x="3"/>
        <item h="1" x="4"/>
        <item x="1"/>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h="1" x="2"/>
        <item x="3"/>
        <item h="1" x="4"/>
        <item x="5"/>
        <item h="1" x="6"/>
        <item x="7"/>
        <item x="8"/>
        <item x="9"/>
        <item x="10"/>
        <item x="11"/>
        <item x="12"/>
        <item x="13"/>
        <item t="default"/>
      </items>
    </pivotField>
  </pivotFields>
  <rowFields count="1">
    <field x="1"/>
  </rowFields>
  <rowItems count="5">
    <i>
      <x/>
    </i>
    <i>
      <x v="1"/>
    </i>
    <i>
      <x v="2"/>
    </i>
    <i>
      <x v="4"/>
    </i>
    <i t="grand">
      <x/>
    </i>
  </rowItems>
  <colItems count="1">
    <i/>
  </colItems>
  <dataFields count="1">
    <dataField name="Sum of Sales Amount" fld="2" baseField="0" baseItem="0"/>
  </dataFields>
  <conditionalFormats count="1">
    <conditionalFormat priority="1">
      <pivotAreas count="1">
        <pivotArea type="data" collapsedLevelsAreSubtotals="1" fieldPosition="0">
          <references count="2">
            <reference field="4294967294" count="1" selected="0">
              <x v="0"/>
            </reference>
            <reference field="1" count="4">
              <x v="0"/>
              <x v="1"/>
              <x v="2"/>
              <x v="4"/>
            </reference>
          </references>
        </pivotArea>
      </pivotAreas>
    </conditionalFormat>
  </conditional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60BCFD-25CB-4662-BFC8-DF8DDE2702E2}" name="PivotTable6" cacheId="9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rowHeaderCaption="Salesperson">
  <location ref="D3:E14" firstHeaderRow="1" firstDataRow="1" firstDataCol="1"/>
  <pivotFields count="7">
    <pivotField numFmtId="14" showAll="0">
      <items count="89">
        <item x="22"/>
        <item x="62"/>
        <item x="66"/>
        <item x="34"/>
        <item x="17"/>
        <item x="77"/>
        <item x="26"/>
        <item x="70"/>
        <item x="86"/>
        <item x="74"/>
        <item x="29"/>
        <item x="15"/>
        <item x="20"/>
        <item x="69"/>
        <item x="9"/>
        <item x="27"/>
        <item x="36"/>
        <item x="82"/>
        <item x="38"/>
        <item x="72"/>
        <item x="41"/>
        <item x="80"/>
        <item x="42"/>
        <item x="16"/>
        <item x="33"/>
        <item x="37"/>
        <item x="6"/>
        <item x="14"/>
        <item x="78"/>
        <item x="49"/>
        <item x="52"/>
        <item x="59"/>
        <item x="57"/>
        <item x="63"/>
        <item x="1"/>
        <item x="54"/>
        <item x="25"/>
        <item x="81"/>
        <item x="50"/>
        <item x="53"/>
        <item x="67"/>
        <item x="13"/>
        <item x="75"/>
        <item x="56"/>
        <item x="73"/>
        <item x="76"/>
        <item x="84"/>
        <item x="68"/>
        <item x="65"/>
        <item x="30"/>
        <item x="87"/>
        <item x="79"/>
        <item x="83"/>
        <item x="19"/>
        <item x="44"/>
        <item x="10"/>
        <item x="46"/>
        <item x="23"/>
        <item x="43"/>
        <item x="8"/>
        <item x="18"/>
        <item x="24"/>
        <item x="31"/>
        <item x="39"/>
        <item x="71"/>
        <item x="3"/>
        <item x="2"/>
        <item x="58"/>
        <item x="5"/>
        <item x="12"/>
        <item x="28"/>
        <item x="85"/>
        <item x="47"/>
        <item x="45"/>
        <item x="21"/>
        <item x="32"/>
        <item x="61"/>
        <item x="0"/>
        <item x="51"/>
        <item x="60"/>
        <item x="35"/>
        <item x="4"/>
        <item x="48"/>
        <item x="64"/>
        <item x="40"/>
        <item x="7"/>
        <item x="11"/>
        <item x="55"/>
        <item t="default"/>
      </items>
    </pivotField>
    <pivotField showAll="0"/>
    <pivotField dataField="1" showAll="0"/>
    <pivotField showAll="0"/>
    <pivotField axis="axisRow" showAll="0">
      <items count="11">
        <item x="9"/>
        <item x="5"/>
        <item x="8"/>
        <item x="7"/>
        <item x="1"/>
        <item x="6"/>
        <item x="3"/>
        <item x="2"/>
        <item x="0"/>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h="1" x="2"/>
        <item x="3"/>
        <item h="1" x="4"/>
        <item x="5"/>
        <item h="1"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Sum of Sales Amount" fld="2" baseField="0" baseItem="0"/>
  </dataFields>
  <conditionalFormats count="2">
    <conditionalFormat priority="4">
      <pivotAreas count="1">
        <pivotArea type="data" collapsedLevelsAreSubtotals="1" fieldPosition="0">
          <references count="2">
            <reference field="4294967294" count="1" selected="0">
              <x v="0"/>
            </reference>
            <reference field="4" count="10">
              <x v="0"/>
              <x v="1"/>
              <x v="2"/>
              <x v="3"/>
              <x v="4"/>
              <x v="5"/>
              <x v="6"/>
              <x v="7"/>
              <x v="8"/>
              <x v="9"/>
            </reference>
          </references>
        </pivotArea>
      </pivotAreas>
    </conditionalFormat>
    <conditionalFormat priority="3">
      <pivotAreas count="1">
        <pivotArea type="data" collapsedLevelsAreSubtotals="1" fieldPosition="0">
          <references count="2">
            <reference field="4294967294" count="1" selected="0">
              <x v="0"/>
            </reference>
            <reference field="4" count="10">
              <x v="0"/>
              <x v="1"/>
              <x v="2"/>
              <x v="3"/>
              <x v="4"/>
              <x v="5"/>
              <x v="6"/>
              <x v="7"/>
              <x v="8"/>
              <x v="9"/>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E4FEE3-25C9-4566-8654-53D087F0BBFC}" name="PivotTable5" cacheId="9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rowHeaderCaption="Region">
  <location ref="A3:B8" firstHeaderRow="1" firstDataRow="1" firstDataCol="1"/>
  <pivotFields count="7">
    <pivotField numFmtId="14" showAll="0">
      <items count="89">
        <item x="22"/>
        <item x="62"/>
        <item x="66"/>
        <item x="34"/>
        <item x="17"/>
        <item x="77"/>
        <item x="26"/>
        <item x="70"/>
        <item x="86"/>
        <item x="74"/>
        <item x="29"/>
        <item x="15"/>
        <item x="20"/>
        <item x="69"/>
        <item x="9"/>
        <item x="27"/>
        <item x="36"/>
        <item x="82"/>
        <item x="38"/>
        <item x="72"/>
        <item x="41"/>
        <item x="80"/>
        <item x="42"/>
        <item x="16"/>
        <item x="33"/>
        <item x="37"/>
        <item x="6"/>
        <item x="14"/>
        <item x="78"/>
        <item x="49"/>
        <item x="52"/>
        <item x="59"/>
        <item x="57"/>
        <item x="63"/>
        <item x="1"/>
        <item x="54"/>
        <item x="25"/>
        <item x="81"/>
        <item x="50"/>
        <item x="53"/>
        <item x="67"/>
        <item x="13"/>
        <item x="75"/>
        <item x="56"/>
        <item x="73"/>
        <item x="76"/>
        <item x="84"/>
        <item x="68"/>
        <item x="65"/>
        <item x="30"/>
        <item x="87"/>
        <item x="79"/>
        <item x="83"/>
        <item x="19"/>
        <item x="44"/>
        <item x="10"/>
        <item x="46"/>
        <item x="23"/>
        <item x="43"/>
        <item x="8"/>
        <item x="18"/>
        <item x="24"/>
        <item x="31"/>
        <item x="39"/>
        <item x="71"/>
        <item x="3"/>
        <item x="2"/>
        <item x="58"/>
        <item x="5"/>
        <item x="12"/>
        <item x="28"/>
        <item x="85"/>
        <item x="47"/>
        <item x="45"/>
        <item x="21"/>
        <item x="32"/>
        <item x="61"/>
        <item x="0"/>
        <item x="51"/>
        <item x="60"/>
        <item x="35"/>
        <item x="4"/>
        <item x="48"/>
        <item x="64"/>
        <item x="40"/>
        <item x="7"/>
        <item x="11"/>
        <item x="55"/>
        <item t="default"/>
      </items>
    </pivotField>
    <pivotField showAll="0"/>
    <pivotField dataField="1" showAll="0"/>
    <pivotField axis="axisRow" showAll="0">
      <items count="5">
        <item x="0"/>
        <item x="2"/>
        <item x="1"/>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h="1" x="2"/>
        <item x="3"/>
        <item h="1" x="4"/>
        <item x="5"/>
        <item h="1"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 Amount" fld="2" baseField="0" baseItem="0"/>
  </dataFields>
  <conditionalFormats count="2">
    <conditionalFormat priority="6">
      <pivotAreas count="1">
        <pivotArea type="data" collapsedLevelsAreSubtotals="1" fieldPosition="0">
          <references count="2">
            <reference field="4294967294" count="1" selected="0">
              <x v="0"/>
            </reference>
            <reference field="3" count="4">
              <x v="0"/>
              <x v="1"/>
              <x v="2"/>
              <x v="3"/>
            </reference>
          </references>
        </pivotArea>
      </pivotAreas>
    </conditionalFormat>
    <conditionalFormat priority="5">
      <pivotAreas count="1">
        <pivotArea type="data" collapsedLevelsAreSubtotals="1" fieldPosition="0">
          <references count="2">
            <reference field="4294967294" count="1" selected="0">
              <x v="0"/>
            </reference>
            <reference field="3" count="4">
              <x v="0"/>
              <x v="1"/>
              <x v="2"/>
              <x v="3"/>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093487C-51F7-4585-AD8C-A50FE5D63FB5}" sourceName="Product">
  <pivotTables>
    <pivotTable tabId="18" name="PivotTable7"/>
    <pivotTable tabId="18" name="PivotTable8"/>
  </pivotTables>
  <data>
    <tabular pivotCacheId="303840959">
      <items count="5">
        <i x="0" s="1"/>
        <i x="2" s="1"/>
        <i x="3" s="1"/>
        <i x="4"/>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4C27494-1847-44E0-AF96-809ABCC1242D}" sourceName="Months (Date)">
  <pivotTables>
    <pivotTable tabId="18" name="PivotTable8"/>
    <pivotTable tabId="18" name="PivotTable5"/>
    <pivotTable tabId="18" name="PivotTable6"/>
    <pivotTable tabId="18" name="PivotTable7"/>
  </pivotTables>
  <data>
    <tabular pivotCacheId="303840959">
      <items count="14">
        <i x="1" s="1"/>
        <i x="2"/>
        <i x="3" s="1"/>
        <i x="4"/>
        <i x="5" s="1"/>
        <i x="6"/>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EE4B84C-C947-47F7-B69D-7781F0729B62}" cache="Slicer_Product" caption="Product" rowHeight="241300"/>
  <slicer name="Months (Date)" xr10:uid="{7CA97730-2CD2-43BD-A5BB-456432D666FE}" cache="Slicer_Months__Date" caption="Month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575B67-835B-4554-8084-881C4B2013CF}" name="Table1" displayName="Table1" ref="A1:E101" totalsRowShown="0">
  <autoFilter ref="A1:E101" xr:uid="{02575B67-835B-4554-8084-881C4B2013CF}"/>
  <sortState xmlns:xlrd2="http://schemas.microsoft.com/office/spreadsheetml/2017/richdata2" ref="A2:E101">
    <sortCondition ref="A1:A101"/>
  </sortState>
  <tableColumns count="5">
    <tableColumn id="1" xr3:uid="{1E9388DC-9361-4147-AB59-ABE549D53E10}" name="Date" dataDxfId="19"/>
    <tableColumn id="2" xr3:uid="{24B9ACB2-B0CF-45F9-AF01-DDB27B1A2DF0}" name="Product"/>
    <tableColumn id="3" xr3:uid="{C2DB67C3-EF12-44BF-A131-5E00504B9126}" name="Sales Amount" dataDxfId="0"/>
    <tableColumn id="4" xr3:uid="{9F69BA2E-4E54-4A24-85EC-527D2F6B1257}" name="Region"/>
    <tableColumn id="5" xr3:uid="{1DB5943A-93CF-4E5A-A611-5B3A8E4FF4AB}" name="Salesperso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D2BA1-6579-4E01-BDDD-7B75C78819DC}">
  <dimension ref="A1:E101"/>
  <sheetViews>
    <sheetView workbookViewId="0">
      <selection activeCell="J16" sqref="J16"/>
    </sheetView>
  </sheetViews>
  <sheetFormatPr defaultRowHeight="15" x14ac:dyDescent="0.2"/>
  <cols>
    <col min="1" max="1" width="10.375" customWidth="1"/>
  </cols>
  <sheetData>
    <row r="1" spans="1:5" ht="14.25" x14ac:dyDescent="0.2">
      <c r="A1" t="s">
        <v>0</v>
      </c>
      <c r="B1" t="s">
        <v>1</v>
      </c>
      <c r="C1" t="s">
        <v>2</v>
      </c>
      <c r="D1" t="s">
        <v>3</v>
      </c>
      <c r="E1" t="s">
        <v>4</v>
      </c>
    </row>
    <row r="2" spans="1:5" ht="14.25" x14ac:dyDescent="0.2">
      <c r="A2" s="1">
        <v>45246</v>
      </c>
      <c r="B2" t="s">
        <v>5</v>
      </c>
      <c r="C2">
        <v>290.64999999999998</v>
      </c>
      <c r="D2" t="s">
        <v>6</v>
      </c>
      <c r="E2" t="s">
        <v>7</v>
      </c>
    </row>
    <row r="3" spans="1:5" ht="14.25" x14ac:dyDescent="0.2">
      <c r="A3" s="1">
        <v>45066</v>
      </c>
      <c r="B3" t="s">
        <v>8</v>
      </c>
      <c r="C3">
        <v>450.37</v>
      </c>
      <c r="D3" t="s">
        <v>6</v>
      </c>
      <c r="E3" t="s">
        <v>9</v>
      </c>
    </row>
    <row r="4" spans="1:5" ht="14.25" x14ac:dyDescent="0.2">
      <c r="A4" s="1">
        <v>45202</v>
      </c>
      <c r="B4" t="s">
        <v>8</v>
      </c>
      <c r="C4">
        <v>494.61</v>
      </c>
      <c r="D4" t="s">
        <v>6</v>
      </c>
      <c r="E4" t="s">
        <v>10</v>
      </c>
    </row>
    <row r="5" spans="1:5" ht="14.25" x14ac:dyDescent="0.2">
      <c r="A5" s="1">
        <v>45201</v>
      </c>
      <c r="B5" t="s">
        <v>11</v>
      </c>
      <c r="C5">
        <v>251.67</v>
      </c>
      <c r="D5" t="s">
        <v>12</v>
      </c>
      <c r="E5" t="s">
        <v>7</v>
      </c>
    </row>
    <row r="6" spans="1:5" ht="14.25" x14ac:dyDescent="0.2">
      <c r="A6" s="1">
        <v>45261</v>
      </c>
      <c r="B6" t="s">
        <v>13</v>
      </c>
      <c r="C6">
        <v>407.19</v>
      </c>
      <c r="D6" t="s">
        <v>14</v>
      </c>
      <c r="E6" t="s">
        <v>15</v>
      </c>
    </row>
    <row r="7" spans="1:5" ht="14.25" x14ac:dyDescent="0.2">
      <c r="A7" s="1">
        <v>45210</v>
      </c>
      <c r="B7" t="s">
        <v>16</v>
      </c>
      <c r="C7">
        <v>330.01</v>
      </c>
      <c r="D7" t="s">
        <v>6</v>
      </c>
      <c r="E7" t="s">
        <v>10</v>
      </c>
    </row>
    <row r="8" spans="1:5" ht="14.25" x14ac:dyDescent="0.2">
      <c r="A8" s="1">
        <v>45008</v>
      </c>
      <c r="B8" t="s">
        <v>13</v>
      </c>
      <c r="C8">
        <v>365.89</v>
      </c>
      <c r="D8" t="s">
        <v>14</v>
      </c>
      <c r="E8" t="s">
        <v>10</v>
      </c>
    </row>
    <row r="9" spans="1:5" ht="14.25" x14ac:dyDescent="0.2">
      <c r="A9" s="1">
        <v>45273</v>
      </c>
      <c r="B9" t="s">
        <v>8</v>
      </c>
      <c r="C9">
        <v>335.71</v>
      </c>
      <c r="D9" t="s">
        <v>14</v>
      </c>
      <c r="E9" t="s">
        <v>17</v>
      </c>
    </row>
    <row r="10" spans="1:5" ht="14.25" x14ac:dyDescent="0.2">
      <c r="A10" s="1">
        <v>45164</v>
      </c>
      <c r="B10" t="s">
        <v>16</v>
      </c>
      <c r="C10">
        <v>240.21</v>
      </c>
      <c r="D10" t="s">
        <v>6</v>
      </c>
      <c r="E10" t="s">
        <v>18</v>
      </c>
    </row>
    <row r="11" spans="1:5" ht="14.25" x14ac:dyDescent="0.2">
      <c r="A11" s="1">
        <v>44967</v>
      </c>
      <c r="B11" t="s">
        <v>5</v>
      </c>
      <c r="C11">
        <v>117.24</v>
      </c>
      <c r="D11" t="s">
        <v>12</v>
      </c>
      <c r="E11" t="s">
        <v>19</v>
      </c>
    </row>
    <row r="12" spans="1:5" ht="14.25" x14ac:dyDescent="0.2">
      <c r="A12" s="1">
        <v>45155</v>
      </c>
      <c r="B12" t="s">
        <v>16</v>
      </c>
      <c r="C12">
        <v>176.04</v>
      </c>
      <c r="D12" t="s">
        <v>6</v>
      </c>
      <c r="E12" t="s">
        <v>20</v>
      </c>
    </row>
    <row r="13" spans="1:5" ht="14.25" x14ac:dyDescent="0.2">
      <c r="A13" s="1">
        <v>45282</v>
      </c>
      <c r="B13" t="s">
        <v>5</v>
      </c>
      <c r="C13">
        <v>91.31</v>
      </c>
      <c r="D13" t="s">
        <v>21</v>
      </c>
      <c r="E13" t="s">
        <v>20</v>
      </c>
    </row>
    <row r="14" spans="1:5" ht="14.25" x14ac:dyDescent="0.2">
      <c r="A14" s="1">
        <v>45212</v>
      </c>
      <c r="B14" t="s">
        <v>13</v>
      </c>
      <c r="C14">
        <v>95.19</v>
      </c>
      <c r="D14" t="s">
        <v>14</v>
      </c>
      <c r="E14" t="s">
        <v>17</v>
      </c>
    </row>
    <row r="15" spans="1:5" ht="14.25" x14ac:dyDescent="0.2">
      <c r="A15" s="1">
        <v>45093</v>
      </c>
      <c r="B15" t="s">
        <v>5</v>
      </c>
      <c r="C15">
        <v>211.25</v>
      </c>
      <c r="D15" t="s">
        <v>21</v>
      </c>
      <c r="E15" t="s">
        <v>18</v>
      </c>
    </row>
    <row r="16" spans="1:5" ht="14.25" x14ac:dyDescent="0.2">
      <c r="A16" s="1">
        <v>45009</v>
      </c>
      <c r="B16" t="s">
        <v>16</v>
      </c>
      <c r="C16">
        <v>224.36</v>
      </c>
      <c r="D16" t="s">
        <v>21</v>
      </c>
      <c r="E16" t="s">
        <v>20</v>
      </c>
    </row>
    <row r="17" spans="1:5" ht="14.25" x14ac:dyDescent="0.2">
      <c r="A17" s="1">
        <v>44961</v>
      </c>
      <c r="B17" t="s">
        <v>11</v>
      </c>
      <c r="C17">
        <v>321.70999999999998</v>
      </c>
      <c r="D17" t="s">
        <v>12</v>
      </c>
      <c r="E17" t="s">
        <v>7</v>
      </c>
    </row>
    <row r="18" spans="1:5" ht="14.25" x14ac:dyDescent="0.2">
      <c r="A18" s="1">
        <v>45001</v>
      </c>
      <c r="B18" t="s">
        <v>13</v>
      </c>
      <c r="C18">
        <v>243.55</v>
      </c>
      <c r="D18" t="s">
        <v>14</v>
      </c>
      <c r="E18" t="s">
        <v>22</v>
      </c>
    </row>
    <row r="19" spans="1:5" ht="14.25" x14ac:dyDescent="0.2">
      <c r="A19" s="1">
        <v>44940</v>
      </c>
      <c r="B19" t="s">
        <v>16</v>
      </c>
      <c r="C19">
        <v>420.04</v>
      </c>
      <c r="D19" t="s">
        <v>21</v>
      </c>
      <c r="E19" t="s">
        <v>10</v>
      </c>
    </row>
    <row r="20" spans="1:5" ht="14.25" x14ac:dyDescent="0.2">
      <c r="A20" s="1">
        <v>45172</v>
      </c>
      <c r="B20" t="s">
        <v>8</v>
      </c>
      <c r="C20">
        <v>121.91</v>
      </c>
      <c r="D20" t="s">
        <v>6</v>
      </c>
      <c r="E20" t="s">
        <v>17</v>
      </c>
    </row>
    <row r="21" spans="1:5" ht="14.25" x14ac:dyDescent="0.2">
      <c r="A21" s="1">
        <v>45147</v>
      </c>
      <c r="B21" t="s">
        <v>11</v>
      </c>
      <c r="C21">
        <v>281.44</v>
      </c>
      <c r="D21" t="s">
        <v>21</v>
      </c>
      <c r="E21" t="s">
        <v>20</v>
      </c>
    </row>
    <row r="22" spans="1:5" ht="14.25" x14ac:dyDescent="0.2">
      <c r="A22" s="1">
        <v>44963</v>
      </c>
      <c r="B22" t="s">
        <v>8</v>
      </c>
      <c r="C22">
        <v>212.3</v>
      </c>
      <c r="D22" t="s">
        <v>21</v>
      </c>
      <c r="E22" t="s">
        <v>10</v>
      </c>
    </row>
    <row r="23" spans="1:5" ht="14.25" x14ac:dyDescent="0.2">
      <c r="A23" s="1">
        <v>45232</v>
      </c>
      <c r="B23" t="s">
        <v>5</v>
      </c>
      <c r="C23">
        <v>266.99</v>
      </c>
      <c r="D23" t="s">
        <v>6</v>
      </c>
      <c r="E23" t="s">
        <v>7</v>
      </c>
    </row>
    <row r="24" spans="1:5" ht="14.25" x14ac:dyDescent="0.2">
      <c r="A24" s="1">
        <v>44929</v>
      </c>
      <c r="B24" t="s">
        <v>8</v>
      </c>
      <c r="C24">
        <v>96.46</v>
      </c>
      <c r="D24" t="s">
        <v>12</v>
      </c>
      <c r="E24" t="s">
        <v>19</v>
      </c>
    </row>
    <row r="25" spans="1:5" ht="14.25" x14ac:dyDescent="0.2">
      <c r="A25" s="1">
        <v>45201</v>
      </c>
      <c r="B25" t="s">
        <v>16</v>
      </c>
      <c r="C25">
        <v>341.7</v>
      </c>
      <c r="D25" t="s">
        <v>6</v>
      </c>
      <c r="E25" t="s">
        <v>22</v>
      </c>
    </row>
    <row r="26" spans="1:5" ht="14.25" x14ac:dyDescent="0.2">
      <c r="A26" s="1">
        <v>45159</v>
      </c>
      <c r="B26" t="s">
        <v>16</v>
      </c>
      <c r="C26">
        <v>383.52</v>
      </c>
      <c r="D26" t="s">
        <v>12</v>
      </c>
      <c r="E26" t="s">
        <v>22</v>
      </c>
    </row>
    <row r="27" spans="1:5" ht="14.25" x14ac:dyDescent="0.2">
      <c r="A27" s="1">
        <v>45178</v>
      </c>
      <c r="B27" t="s">
        <v>8</v>
      </c>
      <c r="C27">
        <v>377.55</v>
      </c>
      <c r="D27" t="s">
        <v>21</v>
      </c>
      <c r="E27" t="s">
        <v>18</v>
      </c>
    </row>
    <row r="28" spans="1:5" ht="14.25" x14ac:dyDescent="0.2">
      <c r="A28" s="1">
        <v>45071</v>
      </c>
      <c r="B28" t="s">
        <v>16</v>
      </c>
      <c r="C28">
        <v>315.47000000000003</v>
      </c>
      <c r="D28" t="s">
        <v>12</v>
      </c>
      <c r="E28" t="s">
        <v>19</v>
      </c>
    </row>
    <row r="29" spans="1:5" ht="14.25" x14ac:dyDescent="0.2">
      <c r="A29" s="1">
        <v>44948</v>
      </c>
      <c r="B29" t="s">
        <v>5</v>
      </c>
      <c r="C29">
        <v>306.11</v>
      </c>
      <c r="D29" t="s">
        <v>12</v>
      </c>
      <c r="E29" t="s">
        <v>10</v>
      </c>
    </row>
    <row r="30" spans="1:5" ht="14.25" x14ac:dyDescent="0.2">
      <c r="A30" s="1">
        <v>45246</v>
      </c>
      <c r="B30" t="s">
        <v>8</v>
      </c>
      <c r="C30">
        <v>375.27</v>
      </c>
      <c r="D30" t="s">
        <v>6</v>
      </c>
      <c r="E30" t="s">
        <v>18</v>
      </c>
    </row>
    <row r="31" spans="1:5" ht="14.25" x14ac:dyDescent="0.2">
      <c r="A31" s="1">
        <v>44968</v>
      </c>
      <c r="B31" t="s">
        <v>5</v>
      </c>
      <c r="C31">
        <v>373.86</v>
      </c>
      <c r="D31" t="s">
        <v>21</v>
      </c>
      <c r="E31" t="s">
        <v>22</v>
      </c>
    </row>
    <row r="32" spans="1:5" ht="14.25" x14ac:dyDescent="0.2">
      <c r="A32" s="1">
        <v>45224</v>
      </c>
      <c r="B32" t="s">
        <v>5</v>
      </c>
      <c r="C32">
        <v>498.54</v>
      </c>
      <c r="D32" t="s">
        <v>6</v>
      </c>
      <c r="E32" t="s">
        <v>9</v>
      </c>
    </row>
    <row r="33" spans="1:5" ht="14.25" x14ac:dyDescent="0.2">
      <c r="A33" s="1">
        <v>44960</v>
      </c>
      <c r="B33" t="s">
        <v>13</v>
      </c>
      <c r="C33">
        <v>427.79</v>
      </c>
      <c r="D33" t="s">
        <v>14</v>
      </c>
      <c r="E33" t="s">
        <v>7</v>
      </c>
    </row>
    <row r="34" spans="1:5" ht="14.25" x14ac:dyDescent="0.2">
      <c r="A34" s="1">
        <v>45129</v>
      </c>
      <c r="B34" t="s">
        <v>8</v>
      </c>
      <c r="C34">
        <v>339.73</v>
      </c>
      <c r="D34" t="s">
        <v>12</v>
      </c>
      <c r="E34" t="s">
        <v>15</v>
      </c>
    </row>
    <row r="35" spans="1:5" ht="14.25" x14ac:dyDescent="0.2">
      <c r="A35" s="1">
        <v>45180</v>
      </c>
      <c r="B35" t="s">
        <v>11</v>
      </c>
      <c r="C35">
        <v>465.09</v>
      </c>
      <c r="D35" t="s">
        <v>12</v>
      </c>
      <c r="E35" t="s">
        <v>7</v>
      </c>
    </row>
    <row r="36" spans="1:5" ht="14.25" x14ac:dyDescent="0.2">
      <c r="A36" s="1">
        <v>45233</v>
      </c>
      <c r="B36" t="s">
        <v>16</v>
      </c>
      <c r="C36">
        <v>352.75</v>
      </c>
      <c r="D36" t="s">
        <v>6</v>
      </c>
      <c r="E36" t="s">
        <v>22</v>
      </c>
    </row>
    <row r="37" spans="1:5" ht="14.25" x14ac:dyDescent="0.2">
      <c r="A37" s="1">
        <v>45004</v>
      </c>
      <c r="B37" t="s">
        <v>11</v>
      </c>
      <c r="C37">
        <v>260.16000000000003</v>
      </c>
      <c r="D37" t="s">
        <v>12</v>
      </c>
      <c r="E37" t="s">
        <v>10</v>
      </c>
    </row>
    <row r="38" spans="1:5" ht="14.25" x14ac:dyDescent="0.2">
      <c r="A38" s="1">
        <v>44937</v>
      </c>
      <c r="B38" t="s">
        <v>13</v>
      </c>
      <c r="C38">
        <v>297.75</v>
      </c>
      <c r="D38" t="s">
        <v>6</v>
      </c>
      <c r="E38" t="s">
        <v>22</v>
      </c>
    </row>
    <row r="39" spans="1:5" ht="14.25" x14ac:dyDescent="0.2">
      <c r="A39" s="1">
        <v>45258</v>
      </c>
      <c r="B39" t="s">
        <v>11</v>
      </c>
      <c r="C39">
        <v>360.78</v>
      </c>
      <c r="D39" t="s">
        <v>12</v>
      </c>
      <c r="E39" t="s">
        <v>19</v>
      </c>
    </row>
    <row r="40" spans="1:5" ht="14.25" x14ac:dyDescent="0.2">
      <c r="A40" s="1">
        <v>44973</v>
      </c>
      <c r="B40" t="s">
        <v>5</v>
      </c>
      <c r="C40">
        <v>473.41</v>
      </c>
      <c r="D40" t="s">
        <v>6</v>
      </c>
      <c r="E40" t="s">
        <v>10</v>
      </c>
    </row>
    <row r="41" spans="1:5" ht="14.25" x14ac:dyDescent="0.2">
      <c r="A41" s="1">
        <v>45007</v>
      </c>
      <c r="B41" t="s">
        <v>8</v>
      </c>
      <c r="C41">
        <v>76.62</v>
      </c>
      <c r="D41" t="s">
        <v>12</v>
      </c>
      <c r="E41" t="s">
        <v>23</v>
      </c>
    </row>
    <row r="42" spans="1:5" ht="14.25" x14ac:dyDescent="0.2">
      <c r="A42" s="1">
        <v>44975</v>
      </c>
      <c r="B42" t="s">
        <v>8</v>
      </c>
      <c r="C42">
        <v>110.07</v>
      </c>
      <c r="D42" t="s">
        <v>12</v>
      </c>
      <c r="E42" t="s">
        <v>19</v>
      </c>
    </row>
    <row r="43" spans="1:5" ht="14.25" x14ac:dyDescent="0.2">
      <c r="A43" s="1">
        <v>45184</v>
      </c>
      <c r="B43" t="s">
        <v>8</v>
      </c>
      <c r="C43">
        <v>65.95</v>
      </c>
      <c r="D43" t="s">
        <v>6</v>
      </c>
      <c r="E43" t="s">
        <v>19</v>
      </c>
    </row>
    <row r="44" spans="1:5" ht="14.25" x14ac:dyDescent="0.2">
      <c r="A44" s="1">
        <v>45268</v>
      </c>
      <c r="B44" t="s">
        <v>5</v>
      </c>
      <c r="C44">
        <v>490.54</v>
      </c>
      <c r="D44" t="s">
        <v>6</v>
      </c>
      <c r="E44" t="s">
        <v>23</v>
      </c>
    </row>
    <row r="45" spans="1:5" ht="14.25" x14ac:dyDescent="0.2">
      <c r="A45" s="1">
        <v>44983</v>
      </c>
      <c r="B45" t="s">
        <v>8</v>
      </c>
      <c r="C45">
        <v>437.57</v>
      </c>
      <c r="D45" t="s">
        <v>6</v>
      </c>
      <c r="E45" t="s">
        <v>17</v>
      </c>
    </row>
    <row r="46" spans="1:5" ht="14.25" x14ac:dyDescent="0.2">
      <c r="A46" s="1">
        <v>44992</v>
      </c>
      <c r="B46" t="s">
        <v>13</v>
      </c>
      <c r="C46">
        <v>432.23</v>
      </c>
      <c r="D46" t="s">
        <v>14</v>
      </c>
      <c r="E46" t="s">
        <v>23</v>
      </c>
    </row>
    <row r="47" spans="1:5" ht="14.25" x14ac:dyDescent="0.2">
      <c r="A47" s="1">
        <v>45163</v>
      </c>
      <c r="B47" t="s">
        <v>11</v>
      </c>
      <c r="C47">
        <v>280.88</v>
      </c>
      <c r="D47" t="s">
        <v>6</v>
      </c>
      <c r="E47" t="s">
        <v>23</v>
      </c>
    </row>
    <row r="48" spans="1:5" ht="14.25" x14ac:dyDescent="0.2">
      <c r="A48" s="1">
        <v>45152</v>
      </c>
      <c r="B48" t="s">
        <v>8</v>
      </c>
      <c r="C48">
        <v>78.55</v>
      </c>
      <c r="D48" t="s">
        <v>6</v>
      </c>
      <c r="E48" t="s">
        <v>10</v>
      </c>
    </row>
    <row r="49" spans="1:5" ht="14.25" x14ac:dyDescent="0.2">
      <c r="A49" s="1">
        <v>45231</v>
      </c>
      <c r="B49" t="s">
        <v>11</v>
      </c>
      <c r="C49">
        <v>349.35</v>
      </c>
      <c r="D49" t="s">
        <v>14</v>
      </c>
      <c r="E49" t="s">
        <v>23</v>
      </c>
    </row>
    <row r="50" spans="1:5" ht="14.25" x14ac:dyDescent="0.2">
      <c r="A50" s="1">
        <v>45158</v>
      </c>
      <c r="B50" t="s">
        <v>11</v>
      </c>
      <c r="C50">
        <v>390.08</v>
      </c>
      <c r="D50" t="s">
        <v>21</v>
      </c>
      <c r="E50" t="s">
        <v>15</v>
      </c>
    </row>
    <row r="51" spans="1:5" ht="14.25" x14ac:dyDescent="0.2">
      <c r="A51" s="1">
        <v>45227</v>
      </c>
      <c r="B51" t="s">
        <v>16</v>
      </c>
      <c r="C51">
        <v>462.55</v>
      </c>
      <c r="D51" t="s">
        <v>21</v>
      </c>
      <c r="E51" t="s">
        <v>20</v>
      </c>
    </row>
    <row r="52" spans="1:5" ht="14.25" x14ac:dyDescent="0.2">
      <c r="A52" s="1">
        <v>45263</v>
      </c>
      <c r="B52" t="s">
        <v>11</v>
      </c>
      <c r="C52">
        <v>317.41000000000003</v>
      </c>
      <c r="D52" t="s">
        <v>14</v>
      </c>
      <c r="E52" t="s">
        <v>18</v>
      </c>
    </row>
    <row r="53" spans="1:5" ht="14.25" x14ac:dyDescent="0.2">
      <c r="A53" s="1">
        <v>45013</v>
      </c>
      <c r="B53" t="s">
        <v>13</v>
      </c>
      <c r="C53">
        <v>325.97000000000003</v>
      </c>
      <c r="D53" t="s">
        <v>21</v>
      </c>
      <c r="E53" t="s">
        <v>23</v>
      </c>
    </row>
    <row r="54" spans="1:5" ht="14.25" x14ac:dyDescent="0.2">
      <c r="A54" s="1">
        <v>45089</v>
      </c>
      <c r="B54" t="s">
        <v>11</v>
      </c>
      <c r="C54">
        <v>425.47</v>
      </c>
      <c r="D54" t="s">
        <v>14</v>
      </c>
      <c r="E54" t="s">
        <v>7</v>
      </c>
    </row>
    <row r="55" spans="1:5" ht="14.25" x14ac:dyDescent="0.2">
      <c r="A55" s="1">
        <v>45253</v>
      </c>
      <c r="B55" t="s">
        <v>5</v>
      </c>
      <c r="C55">
        <v>273.91000000000003</v>
      </c>
      <c r="D55" t="s">
        <v>14</v>
      </c>
      <c r="E55" t="s">
        <v>17</v>
      </c>
    </row>
    <row r="56" spans="1:5" ht="14.25" x14ac:dyDescent="0.2">
      <c r="A56" s="1">
        <v>45026</v>
      </c>
      <c r="B56" t="s">
        <v>13</v>
      </c>
      <c r="C56">
        <v>101.74</v>
      </c>
      <c r="D56" t="s">
        <v>21</v>
      </c>
      <c r="E56" t="s">
        <v>10</v>
      </c>
    </row>
    <row r="57" spans="1:5" ht="14.25" x14ac:dyDescent="0.2">
      <c r="A57" s="1">
        <v>45091</v>
      </c>
      <c r="B57" t="s">
        <v>13</v>
      </c>
      <c r="C57">
        <v>236.43</v>
      </c>
      <c r="D57" t="s">
        <v>12</v>
      </c>
      <c r="E57" t="s">
        <v>18</v>
      </c>
    </row>
    <row r="58" spans="1:5" ht="14.25" x14ac:dyDescent="0.2">
      <c r="A58" s="1">
        <v>45069</v>
      </c>
      <c r="B58" t="s">
        <v>13</v>
      </c>
      <c r="C58">
        <v>175.64</v>
      </c>
      <c r="D58" t="s">
        <v>12</v>
      </c>
      <c r="E58" t="s">
        <v>17</v>
      </c>
    </row>
    <row r="59" spans="1:5" ht="14.25" x14ac:dyDescent="0.2">
      <c r="A59" s="1">
        <v>45284</v>
      </c>
      <c r="B59" t="s">
        <v>5</v>
      </c>
      <c r="C59">
        <v>494.2</v>
      </c>
      <c r="D59" t="s">
        <v>12</v>
      </c>
      <c r="E59" t="s">
        <v>18</v>
      </c>
    </row>
    <row r="60" spans="1:5" ht="14.25" x14ac:dyDescent="0.2">
      <c r="A60" s="1">
        <v>45097</v>
      </c>
      <c r="B60" t="s">
        <v>8</v>
      </c>
      <c r="C60">
        <v>257.41000000000003</v>
      </c>
      <c r="D60" t="s">
        <v>6</v>
      </c>
      <c r="E60" t="s">
        <v>23</v>
      </c>
    </row>
    <row r="61" spans="1:5" ht="14.25" x14ac:dyDescent="0.2">
      <c r="A61" s="1">
        <v>45053</v>
      </c>
      <c r="B61" t="s">
        <v>13</v>
      </c>
      <c r="C61">
        <v>344.37</v>
      </c>
      <c r="D61" t="s">
        <v>12</v>
      </c>
      <c r="E61" t="s">
        <v>15</v>
      </c>
    </row>
    <row r="62" spans="1:5" ht="14.25" x14ac:dyDescent="0.2">
      <c r="A62" s="1">
        <v>45206</v>
      </c>
      <c r="B62" t="s">
        <v>8</v>
      </c>
      <c r="C62">
        <v>216.01</v>
      </c>
      <c r="D62" t="s">
        <v>21</v>
      </c>
      <c r="E62" t="s">
        <v>17</v>
      </c>
    </row>
    <row r="63" spans="1:5" ht="14.25" x14ac:dyDescent="0.2">
      <c r="A63" s="1">
        <v>45227</v>
      </c>
      <c r="B63" t="s">
        <v>16</v>
      </c>
      <c r="C63">
        <v>436.78</v>
      </c>
      <c r="D63" t="s">
        <v>14</v>
      </c>
      <c r="E63" t="s">
        <v>23</v>
      </c>
    </row>
    <row r="64" spans="1:5" ht="14.25" x14ac:dyDescent="0.2">
      <c r="A64" s="1">
        <v>45034</v>
      </c>
      <c r="B64" t="s">
        <v>16</v>
      </c>
      <c r="C64">
        <v>281.7</v>
      </c>
      <c r="D64" t="s">
        <v>12</v>
      </c>
      <c r="E64" t="s">
        <v>10</v>
      </c>
    </row>
    <row r="65" spans="1:5" ht="14.25" x14ac:dyDescent="0.2">
      <c r="A65" s="1">
        <v>45256</v>
      </c>
      <c r="B65" t="s">
        <v>8</v>
      </c>
      <c r="C65">
        <v>444.09</v>
      </c>
      <c r="D65" t="s">
        <v>14</v>
      </c>
      <c r="E65" t="s">
        <v>23</v>
      </c>
    </row>
    <row r="66" spans="1:5" ht="14.25" x14ac:dyDescent="0.2">
      <c r="A66" s="1">
        <v>45240</v>
      </c>
      <c r="B66" t="s">
        <v>11</v>
      </c>
      <c r="C66">
        <v>111.39</v>
      </c>
      <c r="D66" t="s">
        <v>21</v>
      </c>
      <c r="E66" t="s">
        <v>23</v>
      </c>
    </row>
    <row r="67" spans="1:5" ht="14.25" x14ac:dyDescent="0.2">
      <c r="A67" s="1">
        <v>44931</v>
      </c>
      <c r="B67" t="s">
        <v>16</v>
      </c>
      <c r="C67">
        <v>90.25</v>
      </c>
      <c r="D67" t="s">
        <v>14</v>
      </c>
      <c r="E67" t="s">
        <v>10</v>
      </c>
    </row>
    <row r="68" spans="1:5" ht="14.25" x14ac:dyDescent="0.2">
      <c r="A68" s="1">
        <v>45180</v>
      </c>
      <c r="B68" t="s">
        <v>11</v>
      </c>
      <c r="C68">
        <v>463.5</v>
      </c>
      <c r="D68" t="s">
        <v>14</v>
      </c>
      <c r="E68" t="s">
        <v>23</v>
      </c>
    </row>
    <row r="69" spans="1:5" ht="14.25" x14ac:dyDescent="0.2">
      <c r="A69" s="1">
        <v>45057</v>
      </c>
      <c r="B69" t="s">
        <v>16</v>
      </c>
      <c r="C69">
        <v>482.85</v>
      </c>
      <c r="D69" t="s">
        <v>6</v>
      </c>
      <c r="E69" t="s">
        <v>23</v>
      </c>
    </row>
    <row r="70" spans="1:5" ht="14.25" x14ac:dyDescent="0.2">
      <c r="A70" s="1">
        <v>45265</v>
      </c>
      <c r="B70" t="s">
        <v>5</v>
      </c>
      <c r="C70">
        <v>481.76</v>
      </c>
      <c r="D70" t="s">
        <v>21</v>
      </c>
      <c r="E70" t="s">
        <v>17</v>
      </c>
    </row>
    <row r="71" spans="1:5" ht="14.25" x14ac:dyDescent="0.2">
      <c r="A71" s="1">
        <v>45127</v>
      </c>
      <c r="B71" t="s">
        <v>16</v>
      </c>
      <c r="C71">
        <v>350.71</v>
      </c>
      <c r="D71" t="s">
        <v>14</v>
      </c>
      <c r="E71" t="s">
        <v>10</v>
      </c>
    </row>
    <row r="72" spans="1:5" ht="14.25" x14ac:dyDescent="0.2">
      <c r="A72" s="1">
        <v>44936</v>
      </c>
      <c r="B72" t="s">
        <v>13</v>
      </c>
      <c r="C72">
        <v>357.52</v>
      </c>
      <c r="D72" t="s">
        <v>21</v>
      </c>
      <c r="E72" t="s">
        <v>7</v>
      </c>
    </row>
    <row r="73" spans="1:5" ht="14.25" x14ac:dyDescent="0.2">
      <c r="A73" s="1">
        <v>45092</v>
      </c>
      <c r="B73" t="s">
        <v>11</v>
      </c>
      <c r="C73">
        <v>399.34</v>
      </c>
      <c r="D73" t="s">
        <v>6</v>
      </c>
      <c r="E73" t="s">
        <v>18</v>
      </c>
    </row>
    <row r="74" spans="1:5" ht="14.25" x14ac:dyDescent="0.2">
      <c r="A74" s="1">
        <v>45124</v>
      </c>
      <c r="B74" t="s">
        <v>13</v>
      </c>
      <c r="C74">
        <v>489.45</v>
      </c>
      <c r="D74" t="s">
        <v>6</v>
      </c>
      <c r="E74" t="s">
        <v>18</v>
      </c>
    </row>
    <row r="75" spans="1:5" ht="14.25" x14ac:dyDescent="0.2">
      <c r="A75" s="1">
        <v>44966</v>
      </c>
      <c r="B75" t="s">
        <v>5</v>
      </c>
      <c r="C75">
        <v>477.15</v>
      </c>
      <c r="D75" t="s">
        <v>6</v>
      </c>
      <c r="E75" t="s">
        <v>20</v>
      </c>
    </row>
    <row r="76" spans="1:5" ht="14.25" x14ac:dyDescent="0.2">
      <c r="A76" s="1">
        <v>44950</v>
      </c>
      <c r="B76" t="s">
        <v>8</v>
      </c>
      <c r="C76">
        <v>376.42</v>
      </c>
      <c r="D76" t="s">
        <v>21</v>
      </c>
      <c r="E76" t="s">
        <v>15</v>
      </c>
    </row>
    <row r="77" spans="1:5" ht="14.25" x14ac:dyDescent="0.2">
      <c r="A77" s="1">
        <v>45193</v>
      </c>
      <c r="B77" t="s">
        <v>13</v>
      </c>
      <c r="C77">
        <v>136.93</v>
      </c>
      <c r="D77" t="s">
        <v>6</v>
      </c>
      <c r="E77" t="s">
        <v>18</v>
      </c>
    </row>
    <row r="78" spans="1:5" ht="14.25" x14ac:dyDescent="0.2">
      <c r="A78" s="1">
        <v>44981</v>
      </c>
      <c r="B78" t="s">
        <v>11</v>
      </c>
      <c r="C78">
        <v>106.44</v>
      </c>
      <c r="D78" t="s">
        <v>6</v>
      </c>
      <c r="E78" t="s">
        <v>23</v>
      </c>
    </row>
    <row r="79" spans="1:5" ht="14.25" x14ac:dyDescent="0.2">
      <c r="A79" s="1">
        <v>45089</v>
      </c>
      <c r="B79" t="s">
        <v>13</v>
      </c>
      <c r="C79">
        <v>239.65</v>
      </c>
      <c r="D79" t="s">
        <v>21</v>
      </c>
      <c r="E79" t="s">
        <v>17</v>
      </c>
    </row>
    <row r="80" spans="1:5" ht="14.25" x14ac:dyDescent="0.2">
      <c r="A80" s="1">
        <v>45102</v>
      </c>
      <c r="B80" t="s">
        <v>8</v>
      </c>
      <c r="C80">
        <v>290.60000000000002</v>
      </c>
      <c r="D80" t="s">
        <v>14</v>
      </c>
      <c r="E80" t="s">
        <v>19</v>
      </c>
    </row>
    <row r="81" spans="1:5" ht="14.25" x14ac:dyDescent="0.2">
      <c r="A81" s="1">
        <v>44958</v>
      </c>
      <c r="B81" t="s">
        <v>13</v>
      </c>
      <c r="C81">
        <v>159.55000000000001</v>
      </c>
      <c r="D81" t="s">
        <v>6</v>
      </c>
      <c r="E81" t="s">
        <v>15</v>
      </c>
    </row>
    <row r="82" spans="1:5" ht="14.25" x14ac:dyDescent="0.2">
      <c r="A82" s="1">
        <v>45095</v>
      </c>
      <c r="B82" t="s">
        <v>13</v>
      </c>
      <c r="C82">
        <v>142.44</v>
      </c>
      <c r="D82" t="s">
        <v>14</v>
      </c>
      <c r="E82" t="s">
        <v>9</v>
      </c>
    </row>
    <row r="83" spans="1:5" ht="14.25" x14ac:dyDescent="0.2">
      <c r="A83" s="1">
        <v>45111</v>
      </c>
      <c r="B83" t="s">
        <v>16</v>
      </c>
      <c r="C83">
        <v>271.29000000000002</v>
      </c>
      <c r="D83" t="s">
        <v>14</v>
      </c>
      <c r="E83" t="s">
        <v>17</v>
      </c>
    </row>
    <row r="84" spans="1:5" ht="14.25" x14ac:dyDescent="0.2">
      <c r="A84" s="1">
        <v>44947</v>
      </c>
      <c r="B84" t="s">
        <v>13</v>
      </c>
      <c r="C84">
        <v>188.96</v>
      </c>
      <c r="D84" t="s">
        <v>14</v>
      </c>
      <c r="E84" t="s">
        <v>15</v>
      </c>
    </row>
    <row r="85" spans="1:5" ht="14.25" x14ac:dyDescent="0.2">
      <c r="A85" s="1">
        <v>45012</v>
      </c>
      <c r="B85" t="s">
        <v>8</v>
      </c>
      <c r="C85">
        <v>472.97</v>
      </c>
      <c r="D85" t="s">
        <v>6</v>
      </c>
      <c r="E85" t="s">
        <v>19</v>
      </c>
    </row>
    <row r="86" spans="1:5" ht="14.25" x14ac:dyDescent="0.2">
      <c r="A86" s="1">
        <v>45256</v>
      </c>
      <c r="B86" t="s">
        <v>5</v>
      </c>
      <c r="C86">
        <v>221.94</v>
      </c>
      <c r="D86" t="s">
        <v>12</v>
      </c>
      <c r="E86" t="s">
        <v>23</v>
      </c>
    </row>
    <row r="87" spans="1:5" ht="14.25" x14ac:dyDescent="0.2">
      <c r="A87" s="1">
        <v>45141</v>
      </c>
      <c r="B87" t="s">
        <v>13</v>
      </c>
      <c r="C87">
        <v>276.48</v>
      </c>
      <c r="D87" t="s">
        <v>14</v>
      </c>
      <c r="E87" t="s">
        <v>18</v>
      </c>
    </row>
    <row r="88" spans="1:5" ht="14.25" x14ac:dyDescent="0.2">
      <c r="A88" s="1">
        <v>44989</v>
      </c>
      <c r="B88" t="s">
        <v>11</v>
      </c>
      <c r="C88">
        <v>83.38</v>
      </c>
      <c r="D88" t="s">
        <v>14</v>
      </c>
      <c r="E88" t="s">
        <v>23</v>
      </c>
    </row>
    <row r="89" spans="1:5" ht="14.25" x14ac:dyDescent="0.2">
      <c r="A89" s="1">
        <v>44931</v>
      </c>
      <c r="B89" t="s">
        <v>5</v>
      </c>
      <c r="C89">
        <v>134.91999999999999</v>
      </c>
      <c r="D89" t="s">
        <v>21</v>
      </c>
      <c r="E89" t="s">
        <v>20</v>
      </c>
    </row>
    <row r="90" spans="1:5" ht="14.25" x14ac:dyDescent="0.2">
      <c r="A90" s="1">
        <v>45083</v>
      </c>
      <c r="B90" t="s">
        <v>5</v>
      </c>
      <c r="C90">
        <v>163.13999999999999</v>
      </c>
      <c r="D90" t="s">
        <v>6</v>
      </c>
      <c r="E90" t="s">
        <v>22</v>
      </c>
    </row>
    <row r="91" spans="1:5" ht="14.25" x14ac:dyDescent="0.2">
      <c r="A91" s="1">
        <v>45152</v>
      </c>
      <c r="B91" t="s">
        <v>11</v>
      </c>
      <c r="C91">
        <v>107.48</v>
      </c>
      <c r="D91" t="s">
        <v>14</v>
      </c>
      <c r="E91" t="s">
        <v>20</v>
      </c>
    </row>
    <row r="92" spans="1:5" ht="14.25" x14ac:dyDescent="0.2">
      <c r="A92" s="1">
        <v>44974</v>
      </c>
      <c r="B92" t="s">
        <v>16</v>
      </c>
      <c r="C92">
        <v>431.75</v>
      </c>
      <c r="D92" t="s">
        <v>14</v>
      </c>
      <c r="E92" t="s">
        <v>17</v>
      </c>
    </row>
    <row r="93" spans="1:5" ht="14.25" x14ac:dyDescent="0.2">
      <c r="A93" s="1">
        <v>45143</v>
      </c>
      <c r="B93" t="s">
        <v>13</v>
      </c>
      <c r="C93">
        <v>299.10000000000002</v>
      </c>
      <c r="D93" t="s">
        <v>6</v>
      </c>
      <c r="E93" t="s">
        <v>23</v>
      </c>
    </row>
    <row r="94" spans="1:5" ht="14.25" x14ac:dyDescent="0.2">
      <c r="A94" s="1">
        <v>45116</v>
      </c>
      <c r="B94" t="s">
        <v>5</v>
      </c>
      <c r="C94">
        <v>216.02</v>
      </c>
      <c r="D94" t="s">
        <v>12</v>
      </c>
      <c r="E94" t="s">
        <v>20</v>
      </c>
    </row>
    <row r="95" spans="1:5" ht="14.25" x14ac:dyDescent="0.2">
      <c r="A95" s="1">
        <v>45155</v>
      </c>
      <c r="B95" t="s">
        <v>5</v>
      </c>
      <c r="C95">
        <v>376.83</v>
      </c>
      <c r="D95" t="s">
        <v>14</v>
      </c>
      <c r="E95" t="s">
        <v>9</v>
      </c>
    </row>
    <row r="96" spans="1:5" ht="14.25" x14ac:dyDescent="0.2">
      <c r="A96" s="1">
        <v>45225</v>
      </c>
      <c r="B96" t="s">
        <v>13</v>
      </c>
      <c r="C96">
        <v>218</v>
      </c>
      <c r="D96" t="s">
        <v>12</v>
      </c>
      <c r="E96" t="s">
        <v>19</v>
      </c>
    </row>
    <row r="97" spans="1:5" ht="14.25" x14ac:dyDescent="0.2">
      <c r="A97" s="1">
        <v>44951</v>
      </c>
      <c r="B97" t="s">
        <v>11</v>
      </c>
      <c r="C97">
        <v>156.63</v>
      </c>
      <c r="D97" t="s">
        <v>21</v>
      </c>
      <c r="E97" t="s">
        <v>9</v>
      </c>
    </row>
    <row r="98" spans="1:5" ht="14.25" x14ac:dyDescent="0.2">
      <c r="A98" s="1">
        <v>45057</v>
      </c>
      <c r="B98" t="s">
        <v>13</v>
      </c>
      <c r="C98">
        <v>370.73</v>
      </c>
      <c r="D98" t="s">
        <v>12</v>
      </c>
      <c r="E98" t="s">
        <v>9</v>
      </c>
    </row>
    <row r="99" spans="1:5" ht="14.25" x14ac:dyDescent="0.2">
      <c r="A99" s="1">
        <v>45131</v>
      </c>
      <c r="B99" t="s">
        <v>5</v>
      </c>
      <c r="C99">
        <v>254.01</v>
      </c>
      <c r="D99" t="s">
        <v>6</v>
      </c>
      <c r="E99" t="s">
        <v>20</v>
      </c>
    </row>
    <row r="100" spans="1:5" ht="14.25" x14ac:dyDescent="0.2">
      <c r="A100" s="1">
        <v>45240</v>
      </c>
      <c r="B100" t="s">
        <v>13</v>
      </c>
      <c r="C100">
        <v>65.900000000000006</v>
      </c>
      <c r="D100" t="s">
        <v>6</v>
      </c>
      <c r="E100" t="s">
        <v>17</v>
      </c>
    </row>
    <row r="101" spans="1:5" ht="14.25" x14ac:dyDescent="0.2">
      <c r="A101" s="1">
        <v>45212</v>
      </c>
      <c r="B101" t="s">
        <v>5</v>
      </c>
      <c r="C101">
        <v>211.89</v>
      </c>
      <c r="D101" t="s">
        <v>6</v>
      </c>
      <c r="E10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4E646-BF8F-4CCE-9C2F-7467AEC350B4}">
  <dimension ref="A1:E101"/>
  <sheetViews>
    <sheetView workbookViewId="0">
      <selection activeCell="E5" sqref="E5"/>
    </sheetView>
  </sheetViews>
  <sheetFormatPr defaultRowHeight="15" x14ac:dyDescent="0.2"/>
  <cols>
    <col min="1" max="1" width="10.875" bestFit="1" customWidth="1"/>
    <col min="2" max="2" width="8.625" customWidth="1"/>
    <col min="3" max="3" width="13.5" customWidth="1"/>
    <col min="4" max="4" width="8.25" customWidth="1"/>
    <col min="5" max="5" width="12.5" bestFit="1" customWidth="1"/>
  </cols>
  <sheetData>
    <row r="1" spans="1:5" ht="14.25" x14ac:dyDescent="0.2">
      <c r="A1" t="s">
        <v>0</v>
      </c>
      <c r="B1" t="s">
        <v>1</v>
      </c>
      <c r="C1" t="s">
        <v>2</v>
      </c>
      <c r="D1" t="s">
        <v>3</v>
      </c>
      <c r="E1" t="s">
        <v>4</v>
      </c>
    </row>
    <row r="2" spans="1:5" ht="14.25" x14ac:dyDescent="0.2">
      <c r="A2" s="1">
        <v>44929</v>
      </c>
      <c r="B2" t="s">
        <v>8</v>
      </c>
      <c r="C2" s="5">
        <v>96.46</v>
      </c>
      <c r="D2" t="s">
        <v>12</v>
      </c>
      <c r="E2" t="s">
        <v>19</v>
      </c>
    </row>
    <row r="3" spans="1:5" ht="14.25" x14ac:dyDescent="0.2">
      <c r="A3" s="1">
        <v>44931</v>
      </c>
      <c r="B3" t="s">
        <v>16</v>
      </c>
      <c r="C3" s="5">
        <v>90.25</v>
      </c>
      <c r="D3" t="s">
        <v>14</v>
      </c>
      <c r="E3" t="s">
        <v>10</v>
      </c>
    </row>
    <row r="4" spans="1:5" ht="14.25" x14ac:dyDescent="0.2">
      <c r="A4" s="1">
        <v>44931</v>
      </c>
      <c r="B4" t="s">
        <v>5</v>
      </c>
      <c r="C4" s="5">
        <v>134.91999999999999</v>
      </c>
      <c r="D4" t="s">
        <v>21</v>
      </c>
      <c r="E4" t="s">
        <v>20</v>
      </c>
    </row>
    <row r="5" spans="1:5" ht="14.25" x14ac:dyDescent="0.2">
      <c r="A5" s="1">
        <v>44936</v>
      </c>
      <c r="B5" t="s">
        <v>13</v>
      </c>
      <c r="C5" s="5">
        <v>357.52</v>
      </c>
      <c r="D5" t="s">
        <v>21</v>
      </c>
      <c r="E5" t="s">
        <v>7</v>
      </c>
    </row>
    <row r="6" spans="1:5" ht="14.25" x14ac:dyDescent="0.2">
      <c r="A6" s="1">
        <v>44937</v>
      </c>
      <c r="B6" t="s">
        <v>13</v>
      </c>
      <c r="C6" s="5">
        <v>297.75</v>
      </c>
      <c r="D6" t="s">
        <v>6</v>
      </c>
      <c r="E6" t="s">
        <v>22</v>
      </c>
    </row>
    <row r="7" spans="1:5" ht="14.25" x14ac:dyDescent="0.2">
      <c r="A7" s="1">
        <v>44940</v>
      </c>
      <c r="B7" t="s">
        <v>16</v>
      </c>
      <c r="C7" s="5">
        <v>420.04</v>
      </c>
      <c r="D7" t="s">
        <v>21</v>
      </c>
      <c r="E7" t="s">
        <v>10</v>
      </c>
    </row>
    <row r="8" spans="1:5" ht="14.25" x14ac:dyDescent="0.2">
      <c r="A8" s="1">
        <v>44947</v>
      </c>
      <c r="B8" t="s">
        <v>13</v>
      </c>
      <c r="C8" s="5">
        <v>188.96</v>
      </c>
      <c r="D8" t="s">
        <v>14</v>
      </c>
      <c r="E8" t="s">
        <v>15</v>
      </c>
    </row>
    <row r="9" spans="1:5" ht="14.25" x14ac:dyDescent="0.2">
      <c r="A9" s="1">
        <v>44948</v>
      </c>
      <c r="B9" t="s">
        <v>5</v>
      </c>
      <c r="C9" s="5">
        <v>306.11</v>
      </c>
      <c r="D9" t="s">
        <v>12</v>
      </c>
      <c r="E9" t="s">
        <v>10</v>
      </c>
    </row>
    <row r="10" spans="1:5" ht="14.25" x14ac:dyDescent="0.2">
      <c r="A10" s="1">
        <v>44950</v>
      </c>
      <c r="B10" t="s">
        <v>8</v>
      </c>
      <c r="C10" s="5">
        <v>376.42</v>
      </c>
      <c r="D10" t="s">
        <v>21</v>
      </c>
      <c r="E10" t="s">
        <v>15</v>
      </c>
    </row>
    <row r="11" spans="1:5" ht="14.25" x14ac:dyDescent="0.2">
      <c r="A11" s="1">
        <v>44951</v>
      </c>
      <c r="B11" t="s">
        <v>11</v>
      </c>
      <c r="C11" s="5">
        <v>156.63</v>
      </c>
      <c r="D11" t="s">
        <v>21</v>
      </c>
      <c r="E11" t="s">
        <v>9</v>
      </c>
    </row>
    <row r="12" spans="1:5" ht="14.25" x14ac:dyDescent="0.2">
      <c r="A12" s="1">
        <v>44958</v>
      </c>
      <c r="B12" t="s">
        <v>13</v>
      </c>
      <c r="C12" s="5">
        <v>159.55000000000001</v>
      </c>
      <c r="D12" t="s">
        <v>6</v>
      </c>
      <c r="E12" t="s">
        <v>15</v>
      </c>
    </row>
    <row r="13" spans="1:5" ht="14.25" x14ac:dyDescent="0.2">
      <c r="A13" s="1">
        <v>44960</v>
      </c>
      <c r="B13" t="s">
        <v>13</v>
      </c>
      <c r="C13" s="5">
        <v>427.79</v>
      </c>
      <c r="D13" t="s">
        <v>14</v>
      </c>
      <c r="E13" t="s">
        <v>7</v>
      </c>
    </row>
    <row r="14" spans="1:5" ht="14.25" x14ac:dyDescent="0.2">
      <c r="A14" s="1">
        <v>44961</v>
      </c>
      <c r="B14" t="s">
        <v>11</v>
      </c>
      <c r="C14" s="5">
        <v>321.70999999999998</v>
      </c>
      <c r="D14" t="s">
        <v>12</v>
      </c>
      <c r="E14" t="s">
        <v>7</v>
      </c>
    </row>
    <row r="15" spans="1:5" ht="14.25" x14ac:dyDescent="0.2">
      <c r="A15" s="1">
        <v>44963</v>
      </c>
      <c r="B15" t="s">
        <v>8</v>
      </c>
      <c r="C15" s="5">
        <v>212.3</v>
      </c>
      <c r="D15" t="s">
        <v>21</v>
      </c>
      <c r="E15" t="s">
        <v>10</v>
      </c>
    </row>
    <row r="16" spans="1:5" ht="14.25" x14ac:dyDescent="0.2">
      <c r="A16" s="1">
        <v>44966</v>
      </c>
      <c r="B16" t="s">
        <v>5</v>
      </c>
      <c r="C16" s="5">
        <v>477.15</v>
      </c>
      <c r="D16" t="s">
        <v>6</v>
      </c>
      <c r="E16" t="s">
        <v>20</v>
      </c>
    </row>
    <row r="17" spans="1:5" ht="14.25" x14ac:dyDescent="0.2">
      <c r="A17" s="1">
        <v>44967</v>
      </c>
      <c r="B17" t="s">
        <v>5</v>
      </c>
      <c r="C17" s="5">
        <v>117.24</v>
      </c>
      <c r="D17" t="s">
        <v>12</v>
      </c>
      <c r="E17" t="s">
        <v>19</v>
      </c>
    </row>
    <row r="18" spans="1:5" ht="14.25" x14ac:dyDescent="0.2">
      <c r="A18" s="1">
        <v>44968</v>
      </c>
      <c r="B18" t="s">
        <v>5</v>
      </c>
      <c r="C18" s="5">
        <v>373.86</v>
      </c>
      <c r="D18" t="s">
        <v>21</v>
      </c>
      <c r="E18" t="s">
        <v>22</v>
      </c>
    </row>
    <row r="19" spans="1:5" ht="14.25" x14ac:dyDescent="0.2">
      <c r="A19" s="1">
        <v>44973</v>
      </c>
      <c r="B19" t="s">
        <v>5</v>
      </c>
      <c r="C19" s="5">
        <v>473.41</v>
      </c>
      <c r="D19" t="s">
        <v>6</v>
      </c>
      <c r="E19" t="s">
        <v>10</v>
      </c>
    </row>
    <row r="20" spans="1:5" ht="14.25" x14ac:dyDescent="0.2">
      <c r="A20" s="1">
        <v>44974</v>
      </c>
      <c r="B20" t="s">
        <v>16</v>
      </c>
      <c r="C20" s="5">
        <v>431.75</v>
      </c>
      <c r="D20" t="s">
        <v>14</v>
      </c>
      <c r="E20" t="s">
        <v>17</v>
      </c>
    </row>
    <row r="21" spans="1:5" ht="14.25" x14ac:dyDescent="0.2">
      <c r="A21" s="1">
        <v>44975</v>
      </c>
      <c r="B21" t="s">
        <v>8</v>
      </c>
      <c r="C21" s="5">
        <v>110.07</v>
      </c>
      <c r="D21" t="s">
        <v>12</v>
      </c>
      <c r="E21" t="s">
        <v>19</v>
      </c>
    </row>
    <row r="22" spans="1:5" ht="14.25" x14ac:dyDescent="0.2">
      <c r="A22" s="1">
        <v>44981</v>
      </c>
      <c r="B22" t="s">
        <v>11</v>
      </c>
      <c r="C22" s="5">
        <v>106.44</v>
      </c>
      <c r="D22" t="s">
        <v>6</v>
      </c>
      <c r="E22" t="s">
        <v>23</v>
      </c>
    </row>
    <row r="23" spans="1:5" ht="14.25" x14ac:dyDescent="0.2">
      <c r="A23" s="1">
        <v>44983</v>
      </c>
      <c r="B23" t="s">
        <v>8</v>
      </c>
      <c r="C23" s="5">
        <v>437.57</v>
      </c>
      <c r="D23" t="s">
        <v>6</v>
      </c>
      <c r="E23" t="s">
        <v>17</v>
      </c>
    </row>
    <row r="24" spans="1:5" ht="14.25" x14ac:dyDescent="0.2">
      <c r="A24" s="1">
        <v>44989</v>
      </c>
      <c r="B24" t="s">
        <v>11</v>
      </c>
      <c r="C24" s="5">
        <v>83.38</v>
      </c>
      <c r="D24" t="s">
        <v>14</v>
      </c>
      <c r="E24" t="s">
        <v>23</v>
      </c>
    </row>
    <row r="25" spans="1:5" ht="14.25" x14ac:dyDescent="0.2">
      <c r="A25" s="1">
        <v>44992</v>
      </c>
      <c r="B25" t="s">
        <v>13</v>
      </c>
      <c r="C25" s="5">
        <v>432.23</v>
      </c>
      <c r="D25" t="s">
        <v>14</v>
      </c>
      <c r="E25" t="s">
        <v>23</v>
      </c>
    </row>
    <row r="26" spans="1:5" ht="14.25" x14ac:dyDescent="0.2">
      <c r="A26" s="1">
        <v>45001</v>
      </c>
      <c r="B26" t="s">
        <v>13</v>
      </c>
      <c r="C26" s="5">
        <v>243.55</v>
      </c>
      <c r="D26" t="s">
        <v>14</v>
      </c>
      <c r="E26" t="s">
        <v>22</v>
      </c>
    </row>
    <row r="27" spans="1:5" ht="14.25" x14ac:dyDescent="0.2">
      <c r="A27" s="1">
        <v>45004</v>
      </c>
      <c r="B27" t="s">
        <v>11</v>
      </c>
      <c r="C27" s="5">
        <v>260.16000000000003</v>
      </c>
      <c r="D27" t="s">
        <v>12</v>
      </c>
      <c r="E27" t="s">
        <v>10</v>
      </c>
    </row>
    <row r="28" spans="1:5" ht="14.25" x14ac:dyDescent="0.2">
      <c r="A28" s="1">
        <v>45007</v>
      </c>
      <c r="B28" t="s">
        <v>8</v>
      </c>
      <c r="C28" s="5">
        <v>76.62</v>
      </c>
      <c r="D28" t="s">
        <v>12</v>
      </c>
      <c r="E28" t="s">
        <v>23</v>
      </c>
    </row>
    <row r="29" spans="1:5" ht="14.25" x14ac:dyDescent="0.2">
      <c r="A29" s="1">
        <v>45008</v>
      </c>
      <c r="B29" t="s">
        <v>13</v>
      </c>
      <c r="C29" s="5">
        <v>365.89</v>
      </c>
      <c r="D29" t="s">
        <v>14</v>
      </c>
      <c r="E29" t="s">
        <v>10</v>
      </c>
    </row>
    <row r="30" spans="1:5" ht="14.25" x14ac:dyDescent="0.2">
      <c r="A30" s="1">
        <v>45009</v>
      </c>
      <c r="B30" t="s">
        <v>16</v>
      </c>
      <c r="C30" s="5">
        <v>224.36</v>
      </c>
      <c r="D30" t="s">
        <v>21</v>
      </c>
      <c r="E30" t="s">
        <v>20</v>
      </c>
    </row>
    <row r="31" spans="1:5" ht="14.25" x14ac:dyDescent="0.2">
      <c r="A31" s="1">
        <v>45012</v>
      </c>
      <c r="B31" t="s">
        <v>8</v>
      </c>
      <c r="C31" s="5">
        <v>472.97</v>
      </c>
      <c r="D31" t="s">
        <v>6</v>
      </c>
      <c r="E31" t="s">
        <v>19</v>
      </c>
    </row>
    <row r="32" spans="1:5" ht="14.25" x14ac:dyDescent="0.2">
      <c r="A32" s="1">
        <v>45013</v>
      </c>
      <c r="B32" t="s">
        <v>13</v>
      </c>
      <c r="C32" s="5">
        <v>325.97000000000003</v>
      </c>
      <c r="D32" t="s">
        <v>21</v>
      </c>
      <c r="E32" t="s">
        <v>23</v>
      </c>
    </row>
    <row r="33" spans="1:5" ht="14.25" x14ac:dyDescent="0.2">
      <c r="A33" s="1">
        <v>45026</v>
      </c>
      <c r="B33" t="s">
        <v>13</v>
      </c>
      <c r="C33" s="5">
        <v>101.74</v>
      </c>
      <c r="D33" t="s">
        <v>21</v>
      </c>
      <c r="E33" t="s">
        <v>10</v>
      </c>
    </row>
    <row r="34" spans="1:5" ht="14.25" x14ac:dyDescent="0.2">
      <c r="A34" s="1">
        <v>45034</v>
      </c>
      <c r="B34" t="s">
        <v>16</v>
      </c>
      <c r="C34" s="5">
        <v>281.7</v>
      </c>
      <c r="D34" t="s">
        <v>12</v>
      </c>
      <c r="E34" t="s">
        <v>10</v>
      </c>
    </row>
    <row r="35" spans="1:5" ht="14.25" x14ac:dyDescent="0.2">
      <c r="A35" s="1">
        <v>45053</v>
      </c>
      <c r="B35" t="s">
        <v>13</v>
      </c>
      <c r="C35" s="5">
        <v>344.37</v>
      </c>
      <c r="D35" t="s">
        <v>12</v>
      </c>
      <c r="E35" t="s">
        <v>15</v>
      </c>
    </row>
    <row r="36" spans="1:5" ht="14.25" x14ac:dyDescent="0.2">
      <c r="A36" s="1">
        <v>45057</v>
      </c>
      <c r="B36" t="s">
        <v>16</v>
      </c>
      <c r="C36" s="5">
        <v>482.85</v>
      </c>
      <c r="D36" t="s">
        <v>6</v>
      </c>
      <c r="E36" t="s">
        <v>23</v>
      </c>
    </row>
    <row r="37" spans="1:5" ht="14.25" x14ac:dyDescent="0.2">
      <c r="A37" s="1">
        <v>45057</v>
      </c>
      <c r="B37" t="s">
        <v>13</v>
      </c>
      <c r="C37" s="5">
        <v>370.73</v>
      </c>
      <c r="D37" t="s">
        <v>12</v>
      </c>
      <c r="E37" t="s">
        <v>9</v>
      </c>
    </row>
    <row r="38" spans="1:5" ht="14.25" x14ac:dyDescent="0.2">
      <c r="A38" s="1">
        <v>45066</v>
      </c>
      <c r="B38" t="s">
        <v>8</v>
      </c>
      <c r="C38" s="5">
        <v>20</v>
      </c>
      <c r="D38" t="s">
        <v>6</v>
      </c>
      <c r="E38" t="s">
        <v>9</v>
      </c>
    </row>
    <row r="39" spans="1:5" ht="14.25" x14ac:dyDescent="0.2">
      <c r="A39" s="1">
        <v>45069</v>
      </c>
      <c r="B39" t="s">
        <v>13</v>
      </c>
      <c r="C39" s="5">
        <v>175.64</v>
      </c>
      <c r="D39" t="s">
        <v>12</v>
      </c>
      <c r="E39" t="s">
        <v>17</v>
      </c>
    </row>
    <row r="40" spans="1:5" ht="14.25" x14ac:dyDescent="0.2">
      <c r="A40" s="1">
        <v>45071</v>
      </c>
      <c r="B40" t="s">
        <v>16</v>
      </c>
      <c r="C40" s="5">
        <v>315.47000000000003</v>
      </c>
      <c r="D40" t="s">
        <v>12</v>
      </c>
      <c r="E40" t="s">
        <v>19</v>
      </c>
    </row>
    <row r="41" spans="1:5" ht="14.25" x14ac:dyDescent="0.2">
      <c r="A41" s="1">
        <v>45083</v>
      </c>
      <c r="B41" t="s">
        <v>5</v>
      </c>
      <c r="C41" s="5">
        <v>163.13999999999999</v>
      </c>
      <c r="D41" t="s">
        <v>6</v>
      </c>
      <c r="E41" t="s">
        <v>22</v>
      </c>
    </row>
    <row r="42" spans="1:5" ht="14.25" x14ac:dyDescent="0.2">
      <c r="A42" s="1">
        <v>45089</v>
      </c>
      <c r="B42" t="s">
        <v>11</v>
      </c>
      <c r="C42" s="5">
        <v>425.47</v>
      </c>
      <c r="D42" t="s">
        <v>14</v>
      </c>
      <c r="E42" t="s">
        <v>7</v>
      </c>
    </row>
    <row r="43" spans="1:5" ht="14.25" x14ac:dyDescent="0.2">
      <c r="A43" s="1">
        <v>45089</v>
      </c>
      <c r="B43" t="s">
        <v>13</v>
      </c>
      <c r="C43" s="5">
        <v>239.65</v>
      </c>
      <c r="D43" t="s">
        <v>21</v>
      </c>
      <c r="E43" t="s">
        <v>17</v>
      </c>
    </row>
    <row r="44" spans="1:5" ht="14.25" x14ac:dyDescent="0.2">
      <c r="A44" s="1">
        <v>45091</v>
      </c>
      <c r="B44" t="s">
        <v>13</v>
      </c>
      <c r="C44" s="5">
        <v>236.43</v>
      </c>
      <c r="D44" t="s">
        <v>12</v>
      </c>
      <c r="E44" t="s">
        <v>18</v>
      </c>
    </row>
    <row r="45" spans="1:5" ht="14.25" x14ac:dyDescent="0.2">
      <c r="A45" s="1">
        <v>45092</v>
      </c>
      <c r="B45" t="s">
        <v>11</v>
      </c>
      <c r="C45" s="5">
        <v>399.34</v>
      </c>
      <c r="D45" t="s">
        <v>6</v>
      </c>
      <c r="E45" t="s">
        <v>18</v>
      </c>
    </row>
    <row r="46" spans="1:5" ht="14.25" x14ac:dyDescent="0.2">
      <c r="A46" s="1">
        <v>45093</v>
      </c>
      <c r="B46" t="s">
        <v>5</v>
      </c>
      <c r="C46" s="5">
        <v>211.25</v>
      </c>
      <c r="D46" t="s">
        <v>21</v>
      </c>
      <c r="E46" t="s">
        <v>18</v>
      </c>
    </row>
    <row r="47" spans="1:5" ht="14.25" x14ac:dyDescent="0.2">
      <c r="A47" s="1">
        <v>45095</v>
      </c>
      <c r="B47" t="s">
        <v>13</v>
      </c>
      <c r="C47" s="5">
        <v>142.44</v>
      </c>
      <c r="D47" t="s">
        <v>14</v>
      </c>
      <c r="E47" t="s">
        <v>9</v>
      </c>
    </row>
    <row r="48" spans="1:5" ht="14.25" x14ac:dyDescent="0.2">
      <c r="A48" s="1">
        <v>45097</v>
      </c>
      <c r="B48" t="s">
        <v>8</v>
      </c>
      <c r="C48" s="5">
        <v>257.41000000000003</v>
      </c>
      <c r="D48" t="s">
        <v>6</v>
      </c>
      <c r="E48" t="s">
        <v>23</v>
      </c>
    </row>
    <row r="49" spans="1:5" ht="14.25" x14ac:dyDescent="0.2">
      <c r="A49" s="1">
        <v>45102</v>
      </c>
      <c r="B49" t="s">
        <v>8</v>
      </c>
      <c r="C49" s="5">
        <v>290.60000000000002</v>
      </c>
      <c r="D49" t="s">
        <v>14</v>
      </c>
      <c r="E49" t="s">
        <v>19</v>
      </c>
    </row>
    <row r="50" spans="1:5" ht="14.25" x14ac:dyDescent="0.2">
      <c r="A50" s="1">
        <v>45111</v>
      </c>
      <c r="B50" t="s">
        <v>16</v>
      </c>
      <c r="C50" s="5">
        <v>271.29000000000002</v>
      </c>
      <c r="D50" t="s">
        <v>14</v>
      </c>
      <c r="E50" t="s">
        <v>17</v>
      </c>
    </row>
    <row r="51" spans="1:5" ht="14.25" x14ac:dyDescent="0.2">
      <c r="A51" s="1">
        <v>45116</v>
      </c>
      <c r="B51" t="s">
        <v>5</v>
      </c>
      <c r="C51" s="5">
        <v>216.02</v>
      </c>
      <c r="D51" t="s">
        <v>12</v>
      </c>
      <c r="E51" t="s">
        <v>20</v>
      </c>
    </row>
    <row r="52" spans="1:5" ht="14.25" x14ac:dyDescent="0.2">
      <c r="A52" s="1">
        <v>45124</v>
      </c>
      <c r="B52" t="s">
        <v>13</v>
      </c>
      <c r="C52" s="5">
        <v>489.45</v>
      </c>
      <c r="D52" t="s">
        <v>6</v>
      </c>
      <c r="E52" t="s">
        <v>18</v>
      </c>
    </row>
    <row r="53" spans="1:5" ht="14.25" x14ac:dyDescent="0.2">
      <c r="A53" s="1">
        <v>45127</v>
      </c>
      <c r="B53" t="s">
        <v>16</v>
      </c>
      <c r="C53" s="5">
        <v>350.71</v>
      </c>
      <c r="D53" t="s">
        <v>14</v>
      </c>
      <c r="E53" t="s">
        <v>10</v>
      </c>
    </row>
    <row r="54" spans="1:5" ht="14.25" x14ac:dyDescent="0.2">
      <c r="A54" s="1">
        <v>45129</v>
      </c>
      <c r="B54" t="s">
        <v>8</v>
      </c>
      <c r="C54" s="5">
        <v>339.73</v>
      </c>
      <c r="D54" t="s">
        <v>12</v>
      </c>
      <c r="E54" t="s">
        <v>15</v>
      </c>
    </row>
    <row r="55" spans="1:5" ht="14.25" x14ac:dyDescent="0.2">
      <c r="A55" s="1">
        <v>45131</v>
      </c>
      <c r="B55" t="s">
        <v>5</v>
      </c>
      <c r="C55" s="5">
        <v>254.01</v>
      </c>
      <c r="D55" t="s">
        <v>6</v>
      </c>
      <c r="E55" t="s">
        <v>20</v>
      </c>
    </row>
    <row r="56" spans="1:5" ht="14.25" x14ac:dyDescent="0.2">
      <c r="A56" s="1">
        <v>45141</v>
      </c>
      <c r="B56" t="s">
        <v>13</v>
      </c>
      <c r="C56" s="5">
        <v>276.48</v>
      </c>
      <c r="D56" t="s">
        <v>14</v>
      </c>
      <c r="E56" t="s">
        <v>18</v>
      </c>
    </row>
    <row r="57" spans="1:5" ht="14.25" x14ac:dyDescent="0.2">
      <c r="A57" s="1">
        <v>45143</v>
      </c>
      <c r="B57" t="s">
        <v>13</v>
      </c>
      <c r="C57" s="5">
        <v>299.10000000000002</v>
      </c>
      <c r="D57" t="s">
        <v>6</v>
      </c>
      <c r="E57" t="s">
        <v>23</v>
      </c>
    </row>
    <row r="58" spans="1:5" ht="14.25" x14ac:dyDescent="0.2">
      <c r="A58" s="1">
        <v>45147</v>
      </c>
      <c r="B58" t="s">
        <v>11</v>
      </c>
      <c r="C58" s="5">
        <v>281.44</v>
      </c>
      <c r="D58" t="s">
        <v>21</v>
      </c>
      <c r="E58" t="s">
        <v>20</v>
      </c>
    </row>
    <row r="59" spans="1:5" ht="14.25" x14ac:dyDescent="0.2">
      <c r="A59" s="1">
        <v>45152</v>
      </c>
      <c r="B59" t="s">
        <v>8</v>
      </c>
      <c r="C59" s="5">
        <v>78.55</v>
      </c>
      <c r="D59" t="s">
        <v>6</v>
      </c>
      <c r="E59" t="s">
        <v>10</v>
      </c>
    </row>
    <row r="60" spans="1:5" ht="14.25" x14ac:dyDescent="0.2">
      <c r="A60" s="1">
        <v>45152</v>
      </c>
      <c r="B60" t="s">
        <v>11</v>
      </c>
      <c r="C60" s="5">
        <v>107.48</v>
      </c>
      <c r="D60" t="s">
        <v>14</v>
      </c>
      <c r="E60" t="s">
        <v>20</v>
      </c>
    </row>
    <row r="61" spans="1:5" ht="14.25" x14ac:dyDescent="0.2">
      <c r="A61" s="1">
        <v>45155</v>
      </c>
      <c r="B61" t="s">
        <v>16</v>
      </c>
      <c r="C61" s="5">
        <v>176.04</v>
      </c>
      <c r="D61" t="s">
        <v>6</v>
      </c>
      <c r="E61" t="s">
        <v>20</v>
      </c>
    </row>
    <row r="62" spans="1:5" ht="14.25" x14ac:dyDescent="0.2">
      <c r="A62" s="1">
        <v>45155</v>
      </c>
      <c r="B62" t="s">
        <v>5</v>
      </c>
      <c r="C62" s="5">
        <v>376.83</v>
      </c>
      <c r="D62" t="s">
        <v>14</v>
      </c>
      <c r="E62" t="s">
        <v>9</v>
      </c>
    </row>
    <row r="63" spans="1:5" ht="14.25" x14ac:dyDescent="0.2">
      <c r="A63" s="1">
        <v>45158</v>
      </c>
      <c r="B63" t="s">
        <v>11</v>
      </c>
      <c r="C63" s="5">
        <v>390.08</v>
      </c>
      <c r="D63" t="s">
        <v>21</v>
      </c>
      <c r="E63" t="s">
        <v>15</v>
      </c>
    </row>
    <row r="64" spans="1:5" ht="14.25" x14ac:dyDescent="0.2">
      <c r="A64" s="1">
        <v>45159</v>
      </c>
      <c r="B64" t="s">
        <v>16</v>
      </c>
      <c r="C64" s="5">
        <v>383.52</v>
      </c>
      <c r="D64" t="s">
        <v>12</v>
      </c>
      <c r="E64" t="s">
        <v>22</v>
      </c>
    </row>
    <row r="65" spans="1:5" ht="14.25" x14ac:dyDescent="0.2">
      <c r="A65" s="1">
        <v>45163</v>
      </c>
      <c r="B65" t="s">
        <v>11</v>
      </c>
      <c r="C65" s="5">
        <v>280.88</v>
      </c>
      <c r="D65" t="s">
        <v>6</v>
      </c>
      <c r="E65" t="s">
        <v>23</v>
      </c>
    </row>
    <row r="66" spans="1:5" ht="14.25" x14ac:dyDescent="0.2">
      <c r="A66" s="1">
        <v>45164</v>
      </c>
      <c r="B66" t="s">
        <v>16</v>
      </c>
      <c r="C66" s="5">
        <v>240.21</v>
      </c>
      <c r="D66" t="s">
        <v>6</v>
      </c>
      <c r="E66" t="s">
        <v>18</v>
      </c>
    </row>
    <row r="67" spans="1:5" ht="14.25" x14ac:dyDescent="0.2">
      <c r="A67" s="1">
        <v>45172</v>
      </c>
      <c r="B67" t="s">
        <v>8</v>
      </c>
      <c r="C67" s="5">
        <v>121.91</v>
      </c>
      <c r="D67" t="s">
        <v>6</v>
      </c>
      <c r="E67" t="s">
        <v>17</v>
      </c>
    </row>
    <row r="68" spans="1:5" ht="14.25" x14ac:dyDescent="0.2">
      <c r="A68" s="1">
        <v>45178</v>
      </c>
      <c r="B68" t="s">
        <v>8</v>
      </c>
      <c r="C68" s="5">
        <v>377.55</v>
      </c>
      <c r="D68" t="s">
        <v>21</v>
      </c>
      <c r="E68" t="s">
        <v>18</v>
      </c>
    </row>
    <row r="69" spans="1:5" ht="14.25" x14ac:dyDescent="0.2">
      <c r="A69" s="1">
        <v>45180</v>
      </c>
      <c r="B69" t="s">
        <v>11</v>
      </c>
      <c r="C69" s="5">
        <v>465.09</v>
      </c>
      <c r="D69" t="s">
        <v>12</v>
      </c>
      <c r="E69" t="s">
        <v>7</v>
      </c>
    </row>
    <row r="70" spans="1:5" ht="14.25" x14ac:dyDescent="0.2">
      <c r="A70" s="1">
        <v>45180</v>
      </c>
      <c r="B70" t="s">
        <v>11</v>
      </c>
      <c r="C70" s="5">
        <v>463.5</v>
      </c>
      <c r="D70" t="s">
        <v>14</v>
      </c>
      <c r="E70" t="s">
        <v>23</v>
      </c>
    </row>
    <row r="71" spans="1:5" ht="14.25" x14ac:dyDescent="0.2">
      <c r="A71" s="1">
        <v>45184</v>
      </c>
      <c r="B71" t="s">
        <v>8</v>
      </c>
      <c r="C71" s="5">
        <v>65.95</v>
      </c>
      <c r="D71" t="s">
        <v>6</v>
      </c>
      <c r="E71" t="s">
        <v>19</v>
      </c>
    </row>
    <row r="72" spans="1:5" ht="14.25" x14ac:dyDescent="0.2">
      <c r="A72" s="1">
        <v>45193</v>
      </c>
      <c r="B72" t="s">
        <v>13</v>
      </c>
      <c r="C72" s="5">
        <v>136.93</v>
      </c>
      <c r="D72" t="s">
        <v>6</v>
      </c>
      <c r="E72" t="s">
        <v>18</v>
      </c>
    </row>
    <row r="73" spans="1:5" ht="14.25" x14ac:dyDescent="0.2">
      <c r="A73" s="1">
        <v>45201</v>
      </c>
      <c r="B73" t="s">
        <v>11</v>
      </c>
      <c r="C73" s="5">
        <v>60</v>
      </c>
      <c r="D73" t="s">
        <v>12</v>
      </c>
      <c r="E73" t="s">
        <v>7</v>
      </c>
    </row>
    <row r="74" spans="1:5" ht="14.25" x14ac:dyDescent="0.2">
      <c r="A74" s="1">
        <v>45201</v>
      </c>
      <c r="B74" t="s">
        <v>16</v>
      </c>
      <c r="C74" s="5">
        <v>341.7</v>
      </c>
      <c r="D74" t="s">
        <v>6</v>
      </c>
      <c r="E74" t="s">
        <v>22</v>
      </c>
    </row>
    <row r="75" spans="1:5" ht="14.25" x14ac:dyDescent="0.2">
      <c r="A75" s="1">
        <v>45202</v>
      </c>
      <c r="B75" t="s">
        <v>8</v>
      </c>
      <c r="C75" s="5">
        <v>20</v>
      </c>
      <c r="D75" t="s">
        <v>6</v>
      </c>
      <c r="E75" t="s">
        <v>10</v>
      </c>
    </row>
    <row r="76" spans="1:5" ht="14.25" x14ac:dyDescent="0.2">
      <c r="A76" s="1">
        <v>45206</v>
      </c>
      <c r="B76" t="s">
        <v>8</v>
      </c>
      <c r="C76" s="5">
        <v>216.01</v>
      </c>
      <c r="D76" t="s">
        <v>21</v>
      </c>
      <c r="E76" t="s">
        <v>17</v>
      </c>
    </row>
    <row r="77" spans="1:5" ht="14.25" x14ac:dyDescent="0.2">
      <c r="A77" s="1">
        <v>45210</v>
      </c>
      <c r="B77" t="s">
        <v>16</v>
      </c>
      <c r="C77" s="5">
        <v>330.01</v>
      </c>
      <c r="D77" t="s">
        <v>6</v>
      </c>
      <c r="E77" t="s">
        <v>10</v>
      </c>
    </row>
    <row r="78" spans="1:5" ht="14.25" x14ac:dyDescent="0.2">
      <c r="A78" s="1">
        <v>45212</v>
      </c>
      <c r="B78" t="s">
        <v>13</v>
      </c>
      <c r="C78" s="5">
        <v>95.19</v>
      </c>
      <c r="D78" t="s">
        <v>14</v>
      </c>
      <c r="E78" t="s">
        <v>17</v>
      </c>
    </row>
    <row r="79" spans="1:5" ht="14.25" x14ac:dyDescent="0.2">
      <c r="A79" s="1">
        <v>45212</v>
      </c>
      <c r="B79" t="s">
        <v>5</v>
      </c>
      <c r="C79" s="5">
        <v>211.89</v>
      </c>
      <c r="D79" t="s">
        <v>6</v>
      </c>
      <c r="E79" t="s">
        <v>9</v>
      </c>
    </row>
    <row r="80" spans="1:5" ht="14.25" x14ac:dyDescent="0.2">
      <c r="A80" s="1">
        <v>45224</v>
      </c>
      <c r="B80" t="s">
        <v>5</v>
      </c>
      <c r="C80" s="5">
        <v>498.54</v>
      </c>
      <c r="D80" t="s">
        <v>6</v>
      </c>
      <c r="E80" t="s">
        <v>9</v>
      </c>
    </row>
    <row r="81" spans="1:5" ht="14.25" x14ac:dyDescent="0.2">
      <c r="A81" s="1">
        <v>45225</v>
      </c>
      <c r="B81" t="s">
        <v>13</v>
      </c>
      <c r="C81" s="5">
        <v>218</v>
      </c>
      <c r="D81" t="s">
        <v>12</v>
      </c>
      <c r="E81" t="s">
        <v>19</v>
      </c>
    </row>
    <row r="82" spans="1:5" ht="14.25" x14ac:dyDescent="0.2">
      <c r="A82" s="1">
        <v>45227</v>
      </c>
      <c r="B82" t="s">
        <v>16</v>
      </c>
      <c r="C82" s="5">
        <v>462.55</v>
      </c>
      <c r="D82" t="s">
        <v>21</v>
      </c>
      <c r="E82" t="s">
        <v>20</v>
      </c>
    </row>
    <row r="83" spans="1:5" ht="14.25" x14ac:dyDescent="0.2">
      <c r="A83" s="1">
        <v>45227</v>
      </c>
      <c r="B83" t="s">
        <v>16</v>
      </c>
      <c r="C83" s="5">
        <v>436.78</v>
      </c>
      <c r="D83" t="s">
        <v>14</v>
      </c>
      <c r="E83" t="s">
        <v>23</v>
      </c>
    </row>
    <row r="84" spans="1:5" ht="14.25" x14ac:dyDescent="0.2">
      <c r="A84" s="1">
        <v>45231</v>
      </c>
      <c r="B84" t="s">
        <v>11</v>
      </c>
      <c r="C84" s="5">
        <v>349.35</v>
      </c>
      <c r="D84" t="s">
        <v>14</v>
      </c>
      <c r="E84" t="s">
        <v>23</v>
      </c>
    </row>
    <row r="85" spans="1:5" ht="14.25" x14ac:dyDescent="0.2">
      <c r="A85" s="1">
        <v>45232</v>
      </c>
      <c r="B85" t="s">
        <v>5</v>
      </c>
      <c r="C85" s="5">
        <v>266.99</v>
      </c>
      <c r="D85" t="s">
        <v>6</v>
      </c>
      <c r="E85" t="s">
        <v>7</v>
      </c>
    </row>
    <row r="86" spans="1:5" ht="14.25" x14ac:dyDescent="0.2">
      <c r="A86" s="1">
        <v>45233</v>
      </c>
      <c r="B86" t="s">
        <v>16</v>
      </c>
      <c r="C86" s="5">
        <v>352.75</v>
      </c>
      <c r="D86" t="s">
        <v>6</v>
      </c>
      <c r="E86" t="s">
        <v>22</v>
      </c>
    </row>
    <row r="87" spans="1:5" ht="14.25" x14ac:dyDescent="0.2">
      <c r="A87" s="1">
        <v>45240</v>
      </c>
      <c r="B87" t="s">
        <v>11</v>
      </c>
      <c r="C87" s="5">
        <v>111.39</v>
      </c>
      <c r="D87" t="s">
        <v>21</v>
      </c>
      <c r="E87" t="s">
        <v>23</v>
      </c>
    </row>
    <row r="88" spans="1:5" ht="14.25" x14ac:dyDescent="0.2">
      <c r="A88" s="1">
        <v>45240</v>
      </c>
      <c r="B88" t="s">
        <v>13</v>
      </c>
      <c r="C88" s="5">
        <v>65.900000000000006</v>
      </c>
      <c r="D88" t="s">
        <v>6</v>
      </c>
      <c r="E88" t="s">
        <v>17</v>
      </c>
    </row>
    <row r="89" spans="1:5" ht="14.25" x14ac:dyDescent="0.2">
      <c r="A89" s="1">
        <v>45246</v>
      </c>
      <c r="B89" t="s">
        <v>5</v>
      </c>
      <c r="C89" s="5">
        <v>2000</v>
      </c>
      <c r="D89" t="s">
        <v>6</v>
      </c>
      <c r="E89" t="s">
        <v>7</v>
      </c>
    </row>
    <row r="90" spans="1:5" ht="14.25" x14ac:dyDescent="0.2">
      <c r="A90" s="1">
        <v>45246</v>
      </c>
      <c r="B90" t="s">
        <v>8</v>
      </c>
      <c r="C90" s="5">
        <v>375.27</v>
      </c>
      <c r="D90" t="s">
        <v>6</v>
      </c>
      <c r="E90" t="s">
        <v>18</v>
      </c>
    </row>
    <row r="91" spans="1:5" ht="14.25" x14ac:dyDescent="0.2">
      <c r="A91" s="1">
        <v>45253</v>
      </c>
      <c r="B91" t="s">
        <v>5</v>
      </c>
      <c r="C91" s="5">
        <v>273.91000000000003</v>
      </c>
      <c r="D91" t="s">
        <v>14</v>
      </c>
      <c r="E91" t="s">
        <v>17</v>
      </c>
    </row>
    <row r="92" spans="1:5" ht="14.25" x14ac:dyDescent="0.2">
      <c r="A92" s="1">
        <v>45256</v>
      </c>
      <c r="B92" t="s">
        <v>8</v>
      </c>
      <c r="C92" s="5">
        <v>444.09</v>
      </c>
      <c r="D92" t="s">
        <v>14</v>
      </c>
      <c r="E92" t="s">
        <v>23</v>
      </c>
    </row>
    <row r="93" spans="1:5" ht="14.25" x14ac:dyDescent="0.2">
      <c r="A93" s="1">
        <v>45256</v>
      </c>
      <c r="B93" t="s">
        <v>5</v>
      </c>
      <c r="C93" s="5">
        <v>221.94</v>
      </c>
      <c r="D93" t="s">
        <v>12</v>
      </c>
      <c r="E93" t="s">
        <v>23</v>
      </c>
    </row>
    <row r="94" spans="1:5" ht="14.25" x14ac:dyDescent="0.2">
      <c r="A94" s="1">
        <v>45258</v>
      </c>
      <c r="B94" t="s">
        <v>11</v>
      </c>
      <c r="C94" s="5">
        <v>360.78</v>
      </c>
      <c r="D94" t="s">
        <v>12</v>
      </c>
      <c r="E94" t="s">
        <v>19</v>
      </c>
    </row>
    <row r="95" spans="1:5" ht="14.25" x14ac:dyDescent="0.2">
      <c r="A95" s="1">
        <v>45261</v>
      </c>
      <c r="B95" t="s">
        <v>13</v>
      </c>
      <c r="C95" s="5">
        <v>407.19</v>
      </c>
      <c r="D95" t="s">
        <v>14</v>
      </c>
      <c r="E95" t="s">
        <v>15</v>
      </c>
    </row>
    <row r="96" spans="1:5" ht="14.25" x14ac:dyDescent="0.2">
      <c r="A96" s="1">
        <v>45263</v>
      </c>
      <c r="B96" t="s">
        <v>11</v>
      </c>
      <c r="C96" s="5">
        <v>317.41000000000003</v>
      </c>
      <c r="D96" t="s">
        <v>14</v>
      </c>
      <c r="E96" t="s">
        <v>18</v>
      </c>
    </row>
    <row r="97" spans="1:5" ht="14.25" x14ac:dyDescent="0.2">
      <c r="A97" s="1">
        <v>45265</v>
      </c>
      <c r="B97" t="s">
        <v>5</v>
      </c>
      <c r="C97" s="5">
        <v>481.76</v>
      </c>
      <c r="D97" t="s">
        <v>21</v>
      </c>
      <c r="E97" t="s">
        <v>17</v>
      </c>
    </row>
    <row r="98" spans="1:5" ht="14.25" x14ac:dyDescent="0.2">
      <c r="A98" s="1">
        <v>45268</v>
      </c>
      <c r="B98" t="s">
        <v>5</v>
      </c>
      <c r="C98" s="5">
        <v>490.54</v>
      </c>
      <c r="D98" t="s">
        <v>6</v>
      </c>
      <c r="E98" t="s">
        <v>23</v>
      </c>
    </row>
    <row r="99" spans="1:5" ht="14.25" x14ac:dyDescent="0.2">
      <c r="A99" s="1">
        <v>45273</v>
      </c>
      <c r="B99" t="s">
        <v>8</v>
      </c>
      <c r="C99" s="5">
        <v>335.71</v>
      </c>
      <c r="D99" t="s">
        <v>14</v>
      </c>
      <c r="E99" t="s">
        <v>17</v>
      </c>
    </row>
    <row r="100" spans="1:5" ht="14.25" x14ac:dyDescent="0.2">
      <c r="A100" s="1">
        <v>45282</v>
      </c>
      <c r="B100" t="s">
        <v>5</v>
      </c>
      <c r="C100" s="5">
        <v>91.31</v>
      </c>
      <c r="D100" t="s">
        <v>21</v>
      </c>
      <c r="E100" t="s">
        <v>20</v>
      </c>
    </row>
    <row r="101" spans="1:5" ht="14.25" x14ac:dyDescent="0.2">
      <c r="A101" s="1">
        <v>45284</v>
      </c>
      <c r="B101" t="s">
        <v>5</v>
      </c>
      <c r="C101" s="5">
        <v>494.2</v>
      </c>
      <c r="D101" t="s">
        <v>12</v>
      </c>
      <c r="E101"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1CA25-05C6-4081-BF8E-B689FB6F7D67}">
  <dimension ref="A3:E27"/>
  <sheetViews>
    <sheetView workbookViewId="0">
      <selection activeCell="I13" sqref="I13"/>
    </sheetView>
  </sheetViews>
  <sheetFormatPr defaultRowHeight="14.25" x14ac:dyDescent="0.2"/>
  <cols>
    <col min="1" max="1" width="10.125" bestFit="1" customWidth="1"/>
    <col min="2" max="2" width="17.875" bestFit="1" customWidth="1"/>
    <col min="4" max="4" width="12.5" bestFit="1" customWidth="1"/>
    <col min="5" max="5" width="17.875" bestFit="1" customWidth="1"/>
    <col min="6" max="7" width="7.875" bestFit="1" customWidth="1"/>
    <col min="8" max="8" width="6.875" bestFit="1" customWidth="1"/>
    <col min="9" max="16" width="7.875" bestFit="1" customWidth="1"/>
    <col min="17" max="17" width="10.125" bestFit="1" customWidth="1"/>
    <col min="18" max="18" width="9.125" bestFit="1" customWidth="1"/>
    <col min="19" max="25" width="10.125" bestFit="1" customWidth="1"/>
    <col min="26" max="27" width="9.125" bestFit="1" customWidth="1"/>
    <col min="28" max="36" width="10.125" bestFit="1" customWidth="1"/>
    <col min="37" max="37" width="9.125" bestFit="1" customWidth="1"/>
    <col min="38" max="41" width="10.125" bestFit="1" customWidth="1"/>
    <col min="42" max="42" width="9.125" bestFit="1" customWidth="1"/>
    <col min="43" max="49" width="10.125" bestFit="1" customWidth="1"/>
    <col min="50" max="51" width="9.125" bestFit="1" customWidth="1"/>
    <col min="52" max="55" width="10.125" bestFit="1" customWidth="1"/>
    <col min="56" max="58" width="9.125" bestFit="1" customWidth="1"/>
    <col min="59" max="64" width="10.125" bestFit="1" customWidth="1"/>
    <col min="65" max="66" width="9.125" bestFit="1" customWidth="1"/>
    <col min="67" max="69" width="10.125" bestFit="1" customWidth="1"/>
    <col min="70" max="72" width="9.125" bestFit="1" customWidth="1"/>
    <col min="73" max="77" width="10.125" bestFit="1" customWidth="1"/>
    <col min="78" max="80" width="9.125" bestFit="1" customWidth="1"/>
    <col min="81" max="85" width="10.125" bestFit="1" customWidth="1"/>
    <col min="86" max="89" width="9.125" bestFit="1" customWidth="1"/>
    <col min="90" max="93" width="10.125" bestFit="1" customWidth="1"/>
  </cols>
  <sheetData>
    <row r="3" spans="1:5" x14ac:dyDescent="0.2">
      <c r="A3" s="2" t="s">
        <v>3</v>
      </c>
      <c r="B3" t="s">
        <v>25</v>
      </c>
      <c r="D3" s="2" t="s">
        <v>4</v>
      </c>
      <c r="E3" t="s">
        <v>25</v>
      </c>
    </row>
    <row r="4" spans="1:5" x14ac:dyDescent="0.2">
      <c r="A4" s="3" t="s">
        <v>6</v>
      </c>
      <c r="B4" s="4">
        <v>8370.1900000000023</v>
      </c>
      <c r="D4" s="3" t="s">
        <v>23</v>
      </c>
      <c r="E4" s="4">
        <v>4498.6200000000008</v>
      </c>
    </row>
    <row r="5" spans="1:5" x14ac:dyDescent="0.2">
      <c r="A5" s="3" t="s">
        <v>14</v>
      </c>
      <c r="B5" s="4">
        <v>5910.18</v>
      </c>
      <c r="D5" s="3" t="s">
        <v>18</v>
      </c>
      <c r="E5" s="4">
        <v>2707.4999999999995</v>
      </c>
    </row>
    <row r="6" spans="1:5" x14ac:dyDescent="0.2">
      <c r="A6" s="3" t="s">
        <v>12</v>
      </c>
      <c r="B6" s="4">
        <v>4704.8399999999992</v>
      </c>
      <c r="D6" s="3" t="s">
        <v>22</v>
      </c>
      <c r="E6" s="4">
        <v>1619.27</v>
      </c>
    </row>
    <row r="7" spans="1:5" x14ac:dyDescent="0.2">
      <c r="A7" s="3" t="s">
        <v>21</v>
      </c>
      <c r="B7" s="4">
        <v>4407.95</v>
      </c>
      <c r="D7" s="3" t="s">
        <v>20</v>
      </c>
      <c r="E7" s="4">
        <v>1948.13</v>
      </c>
    </row>
    <row r="8" spans="1:5" x14ac:dyDescent="0.2">
      <c r="A8" s="3" t="s">
        <v>24</v>
      </c>
      <c r="B8" s="4">
        <v>23393.160000000003</v>
      </c>
      <c r="D8" s="3" t="s">
        <v>9</v>
      </c>
      <c r="E8" s="4">
        <v>1634.62</v>
      </c>
    </row>
    <row r="9" spans="1:5" x14ac:dyDescent="0.2">
      <c r="D9" s="3" t="s">
        <v>19</v>
      </c>
      <c r="E9" s="4">
        <v>1529.63</v>
      </c>
    </row>
    <row r="10" spans="1:5" x14ac:dyDescent="0.2">
      <c r="D10" s="3" t="s">
        <v>15</v>
      </c>
      <c r="E10" s="4">
        <v>2046.75</v>
      </c>
    </row>
    <row r="11" spans="1:5" x14ac:dyDescent="0.2">
      <c r="D11" s="3" t="s">
        <v>10</v>
      </c>
      <c r="E11" s="4">
        <v>2221.7200000000003</v>
      </c>
    </row>
    <row r="12" spans="1:5" x14ac:dyDescent="0.2">
      <c r="D12" s="3" t="s">
        <v>7</v>
      </c>
      <c r="E12" s="4">
        <v>3149.6</v>
      </c>
    </row>
    <row r="13" spans="1:5" x14ac:dyDescent="0.2">
      <c r="D13" s="3" t="s">
        <v>17</v>
      </c>
      <c r="E13" s="4">
        <v>2037.3199999999997</v>
      </c>
    </row>
    <row r="14" spans="1:5" x14ac:dyDescent="0.2">
      <c r="D14" s="3" t="s">
        <v>24</v>
      </c>
      <c r="E14" s="4">
        <v>23393.16</v>
      </c>
    </row>
    <row r="15" spans="1:5" x14ac:dyDescent="0.2">
      <c r="A15" s="2" t="s">
        <v>3</v>
      </c>
      <c r="B15" t="s">
        <v>25</v>
      </c>
    </row>
    <row r="16" spans="1:5" x14ac:dyDescent="0.2">
      <c r="A16" s="3" t="s">
        <v>5</v>
      </c>
      <c r="B16" s="4">
        <v>6318.9699999999993</v>
      </c>
    </row>
    <row r="17" spans="1:5" x14ac:dyDescent="0.2">
      <c r="A17" s="3" t="s">
        <v>11</v>
      </c>
      <c r="B17" s="4">
        <v>3687.5699999999997</v>
      </c>
      <c r="D17" s="2" t="s">
        <v>35</v>
      </c>
      <c r="E17" t="s">
        <v>25</v>
      </c>
    </row>
    <row r="18" spans="1:5" x14ac:dyDescent="0.2">
      <c r="A18" s="3" t="s">
        <v>13</v>
      </c>
      <c r="B18" s="4">
        <v>5090.8500000000004</v>
      </c>
      <c r="D18" s="3" t="s">
        <v>26</v>
      </c>
      <c r="E18" s="4">
        <v>1914.77</v>
      </c>
    </row>
    <row r="19" spans="1:5" x14ac:dyDescent="0.2">
      <c r="A19" s="3" t="s">
        <v>8</v>
      </c>
      <c r="B19" s="4">
        <v>3417.2400000000007</v>
      </c>
      <c r="D19" s="3" t="s">
        <v>27</v>
      </c>
      <c r="E19" s="4">
        <v>2260.7700000000004</v>
      </c>
    </row>
    <row r="20" spans="1:5" x14ac:dyDescent="0.2">
      <c r="A20" s="3" t="s">
        <v>24</v>
      </c>
      <c r="B20" s="4">
        <v>18514.63</v>
      </c>
      <c r="D20" s="3" t="s">
        <v>28</v>
      </c>
      <c r="E20" s="4">
        <v>910.74</v>
      </c>
    </row>
    <row r="21" spans="1:5" x14ac:dyDescent="0.2">
      <c r="D21" s="3" t="s">
        <v>29</v>
      </c>
      <c r="E21" s="4">
        <v>1299.21</v>
      </c>
    </row>
    <row r="22" spans="1:5" x14ac:dyDescent="0.2">
      <c r="D22" s="3" t="s">
        <v>30</v>
      </c>
      <c r="E22" s="4">
        <v>2090.84</v>
      </c>
    </row>
    <row r="23" spans="1:5" x14ac:dyDescent="0.2">
      <c r="D23" s="3" t="s">
        <v>31</v>
      </c>
      <c r="E23" s="4">
        <v>1630.93</v>
      </c>
    </row>
    <row r="24" spans="1:5" x14ac:dyDescent="0.2">
      <c r="D24" s="3" t="s">
        <v>32</v>
      </c>
      <c r="E24" s="4">
        <v>1319.6299999999999</v>
      </c>
    </row>
    <row r="25" spans="1:5" x14ac:dyDescent="0.2">
      <c r="D25" s="3" t="s">
        <v>33</v>
      </c>
      <c r="E25" s="4">
        <v>4469.62</v>
      </c>
    </row>
    <row r="26" spans="1:5" x14ac:dyDescent="0.2">
      <c r="D26" s="3" t="s">
        <v>34</v>
      </c>
      <c r="E26" s="4">
        <v>2618.12</v>
      </c>
    </row>
    <row r="27" spans="1:5" x14ac:dyDescent="0.2">
      <c r="D27" s="3" t="s">
        <v>24</v>
      </c>
      <c r="E27" s="4">
        <v>18514.63</v>
      </c>
    </row>
  </sheetData>
  <conditionalFormatting pivot="1" sqref="B4:B7">
    <cfRule type="cellIs" dxfId="8" priority="6" operator="greaterThan">
      <formula>5000</formula>
    </cfRule>
  </conditionalFormatting>
  <conditionalFormatting pivot="1" sqref="B4:B7">
    <cfRule type="cellIs" dxfId="7" priority="5" operator="lessThan">
      <formula>5000</formula>
    </cfRule>
  </conditionalFormatting>
  <conditionalFormatting pivot="1" sqref="E4:E13">
    <cfRule type="cellIs" dxfId="6" priority="4" operator="greaterThan">
      <formula>3000</formula>
    </cfRule>
  </conditionalFormatting>
  <conditionalFormatting pivot="1" sqref="E4:E13">
    <cfRule type="cellIs" dxfId="5" priority="3" operator="lessThan">
      <formula>3000</formula>
    </cfRule>
  </conditionalFormatting>
  <conditionalFormatting pivot="1" sqref="E18:E26">
    <cfRule type="dataBar" priority="2">
      <dataBar>
        <cfvo type="min"/>
        <cfvo type="max"/>
        <color rgb="FFFF555A"/>
      </dataBar>
      <extLst>
        <ext xmlns:x14="http://schemas.microsoft.com/office/spreadsheetml/2009/9/main" uri="{B025F937-C7B1-47D3-B67F-A62EFF666E3E}">
          <x14:id>{78E3DF48-BE3C-48A6-8869-1C3E87BAB68A}</x14:id>
        </ext>
      </extLst>
    </cfRule>
  </conditionalFormatting>
  <conditionalFormatting pivot="1" sqref="B16:B19">
    <cfRule type="iconSet" priority="1">
      <iconSet iconSet="3Symbols">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78E3DF48-BE3C-48A6-8869-1C3E87BAB68A}">
            <x14:dataBar minLength="0" maxLength="100" border="1" negativeBarBorderColorSameAsPositive="0">
              <x14:cfvo type="autoMin"/>
              <x14:cfvo type="autoMax"/>
              <x14:borderColor rgb="FFFF555A"/>
              <x14:negativeFillColor rgb="FFFF0000"/>
              <x14:negativeBorderColor rgb="FFFF0000"/>
              <x14:axisColor rgb="FF000000"/>
            </x14:dataBar>
          </x14:cfRule>
          <xm:sqref>E18:E26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9171C-4523-45E6-8A94-97955AF79EF9}">
  <dimension ref="A1:M1"/>
  <sheetViews>
    <sheetView showGridLines="0" tabSelected="1" workbookViewId="0">
      <selection activeCell="P22" sqref="P22"/>
    </sheetView>
  </sheetViews>
  <sheetFormatPr defaultRowHeight="14.25" x14ac:dyDescent="0.2"/>
  <sheetData>
    <row r="1" spans="1:13" ht="20.25" x14ac:dyDescent="0.3">
      <c r="A1" s="6" t="s">
        <v>36</v>
      </c>
      <c r="B1" s="6"/>
      <c r="C1" s="6"/>
      <c r="D1" s="6"/>
      <c r="E1" s="6"/>
      <c r="F1" s="6"/>
      <c r="G1" s="6"/>
      <c r="H1" s="6"/>
      <c r="I1" s="6"/>
      <c r="J1" s="6"/>
      <c r="K1" s="6"/>
      <c r="L1" s="6"/>
      <c r="M1" s="6"/>
    </row>
  </sheetData>
  <mergeCells count="1">
    <mergeCell ref="A1:M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D8ABDF-7B70-47D7-9DC1-83FFDA2418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Neat Original</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Yorika</dc:creator>
  <cp:lastModifiedBy>Yorika</cp:lastModifiedBy>
  <dcterms:created xsi:type="dcterms:W3CDTF">2025-04-28T11:31:25Z</dcterms:created>
  <dcterms:modified xsi:type="dcterms:W3CDTF">2025-04-29T03:00:25Z</dcterms:modified>
</cp:coreProperties>
</file>